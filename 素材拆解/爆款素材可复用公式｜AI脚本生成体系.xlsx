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c331b95f7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复用公式库" sheetId="1" r:id="R3a5bf35a3f8c4ebb"/>
    <x:sheet xmlns:r="http://schemas.openxmlformats.org/officeDocument/2006/relationships" name="样本概览" sheetId="2" r:id="Rf5435dc1c1e24f0d"/>
    <x:sheet xmlns:r="http://schemas.openxmlformats.org/officeDocument/2006/relationships" name="Prompt_直接复制" sheetId="3" r:id="Rce4f3662cb484e1b"/>
    <x:sheet xmlns:r="http://schemas.openxmlformats.org/officeDocument/2006/relationships" name="提质闭环" sheetId="4" r:id="R9b8639debf394fc3"/>
    <x:sheet xmlns:r="http://schemas.openxmlformats.org/officeDocument/2006/relationships" name="脚本评分器" sheetId="5" r:id="Rcb753b740f0f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3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E8EDF3"/>
      </x:right>
      <x:bottom style="thin">
        <x:color rgb="FFD7DEE8"/>
      </x:bottom>
    </x:border>
    <x:border>
      <x:left style="thin">
        <x:color rgb="FFE8EDF3"/>
      </x:left>
      <x:right style="thin">
        <x:color rgb="FFE8EDF3"/>
      </x:right>
      <x:bottom style="thin">
        <x:color rgb="FFD7DEE8"/>
      </x:bottom>
    </x:border>
    <x:border>
      <x:left style="thin">
        <x:color rgb="FFE8EDF3"/>
      </x:left>
      <x:bottom style="thin">
        <x:color rgb="FFD7DEE8"/>
      </x:bottom>
    </x:border>
    <x:border>
      <x:right style="thin">
        <x:color rgb="FFE8EDF3"/>
      </x:right>
      <x:top style="thin">
        <x:color rgb="FFD7DEE8"/>
      </x:top>
      <x:bottom style="thin">
        <x:color rgb="FFD7DEE8"/>
      </x:bottom>
    </x:border>
    <x:border>
      <x:left style="thin">
        <x:color rgb="FFE8EDF3"/>
      </x:left>
      <x:right style="thin">
        <x:color rgb="FFE8EDF3"/>
      </x:right>
      <x:top style="thin">
        <x:color rgb="FFD7DEE8"/>
      </x:top>
      <x:bottom style="thin">
        <x:color rgb="FFD7DEE8"/>
      </x:bottom>
    </x:border>
    <x:border>
      <x:left style="thin">
        <x:color rgb="FFE8EDF3"/>
      </x:left>
      <x:top style="thin">
        <x:color rgb="FFD7DEE8"/>
      </x:top>
      <x:bottom style="thin">
        <x:color rgb="FFD7DEE8"/>
      </x:bottom>
    </x:border>
    <x:border>
      <x:right style="thin">
        <x:color rgb="FFE8EDF3"/>
      </x:right>
      <x:top style="thin">
        <x:color rgb="FFD7DEE8"/>
      </x:top>
    </x:border>
    <x:border>
      <x:left style="thin">
        <x:color rgb="FFE8EDF3"/>
      </x:left>
      <x:right style="thin">
        <x:color rgb="FFE8EDF3"/>
      </x:right>
      <x:top style="thin">
        <x:color rgb="FFD7DEE8"/>
      </x:top>
    </x:border>
    <x:border>
      <x:left style="thin">
        <x:color rgb="FFE8EDF3"/>
      </x:left>
      <x:top style="thin">
        <x:color rgb="FFD7DEE8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medium">
        <x:color rgb="FFA9BCD0"/>
      </x:left>
      <x:top style="medium">
        <x:color rgb="FFA9BCD0"/>
      </x:top>
    </x:border>
    <x:border>
      <x:top style="medium">
        <x:color rgb="FFA9BCD0"/>
      </x:top>
    </x:border>
    <x:border>
      <x:right style="medium">
        <x:color rgb="FFA9BCD0"/>
      </x:right>
      <x:top style="medium">
        <x:color rgb="FFA9BCD0"/>
      </x:top>
    </x:border>
    <x:border>
      <x:left style="medium">
        <x:color rgb="FFA9BCD0"/>
      </x:left>
    </x:border>
    <x:border>
      <x:right style="medium">
        <x:color rgb="FFA9BCD0"/>
      </x:right>
    </x:border>
    <x:border>
      <x:left style="medium">
        <x:color rgb="FFA9BCD0"/>
      </x:left>
      <x:bottom style="medium">
        <x:color rgb="FFA9BCD0"/>
      </x:bottom>
    </x:border>
    <x:border>
      <x:bottom style="medium">
        <x:color rgb="FFA9BCD0"/>
      </x:bottom>
    </x:border>
    <x:border>
      <x:right style="medium">
        <x:color rgb="FFA9BCD0"/>
      </x:right>
      <x:bottom style="medium">
        <x:color rgb="FFA9BCD0"/>
      </x:bottom>
    </x:border>
    <x:border>
      <x:right style="thin">
        <x:color rgb="FFE8EDF3"/>
      </x:right>
      <x:bottom style="thin">
        <x:color rgb="FFD9E2F3"/>
      </x:bottom>
    </x:border>
    <x:border>
      <x:left style="thin">
        <x:color rgb="FFE8EDF3"/>
      </x:left>
      <x:right style="thin">
        <x:color rgb="FFE8EDF3"/>
      </x:right>
      <x:bottom style="thin">
        <x:color rgb="FFD9E2F3"/>
      </x:bottom>
    </x:border>
    <x:border>
      <x:left style="thin">
        <x:color rgb="FFE8EDF3"/>
      </x:left>
      <x:bottom style="thin">
        <x:color rgb="FFD9E2F3"/>
      </x:bottom>
    </x:border>
    <x:border>
      <x:right style="thin">
        <x:color rgb="FFE8EDF3"/>
      </x:right>
      <x:top style="thin">
        <x:color rgb="FFD9E2F3"/>
      </x:top>
      <x:bottom style="thin">
        <x:color rgb="FFD9E2F3"/>
      </x:bottom>
    </x:border>
    <x:border>
      <x:left style="thin">
        <x:color rgb="FFE8EDF3"/>
      </x:left>
      <x:right style="thin">
        <x:color rgb="FFE8EDF3"/>
      </x:right>
      <x:top style="thin">
        <x:color rgb="FFD9E2F3"/>
      </x:top>
      <x:bottom style="thin">
        <x:color rgb="FFD9E2F3"/>
      </x:bottom>
    </x:border>
    <x:border>
      <x:left style="thin">
        <x:color rgb="FFE8EDF3"/>
      </x:left>
      <x:top style="thin">
        <x:color rgb="FFD9E2F3"/>
      </x:top>
      <x:bottom style="thin">
        <x:color rgb="FFD9E2F3"/>
      </x:bottom>
    </x:border>
    <x:border>
      <x:right style="thin">
        <x:color rgb="FFE8EDF3"/>
      </x:right>
      <x:top style="thin">
        <x:color rgb="FFD9E2F3"/>
      </x:top>
    </x:border>
    <x:border>
      <x:left style="thin">
        <x:color rgb="FFE8EDF3"/>
      </x:left>
      <x:right style="thin">
        <x:color rgb="FFE8EDF3"/>
      </x:right>
      <x:top style="thin">
        <x:color rgb="FFD9E2F3"/>
      </x:top>
    </x:border>
    <x:border>
      <x:left style="thin">
        <x:color rgb="FFE8EDF3"/>
      </x:left>
      <x:top style="thin">
        <x:color rgb="FFD9E2F3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0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vertical="top" wrapText="1"/>
    </x:xf>
    <x:xf numFmtId="0" fontId="2" fillId="3" borderId="19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2" fillId="3" borderId="21" xfId="0" applyNumberFormat="1" applyFont="1" applyFill="1" applyBorder="1" applyAlignment="1">
      <x:alignment vertical="top" wrapText="1"/>
    </x:xf>
    <x:xf numFmtId="0" fontId="2" fillId="3" borderId="22" xfId="0" applyNumberFormat="1" applyFont="1" applyFill="1" applyBorder="1" applyAlignment="1">
      <x:alignment vertical="top" wrapText="1"/>
    </x:xf>
    <x:xf numFmtId="0" fontId="2" fillId="3" borderId="23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6" borderId="25" xfId="0" applyNumberFormat="1" applyFont="1" applyFill="1" applyBorder="1" applyAlignment="1">
      <x:alignment horizontal="center"/>
    </x:xf>
    <x:xf numFmtId="201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6" borderId="28" xfId="0" applyNumberFormat="1" applyFont="1" applyFill="1" applyBorder="1" applyAlignment="1">
      <x:alignment horizontal="center"/>
    </x:xf>
    <x:xf numFmtId="201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6" borderId="31" xfId="0" applyNumberFormat="1" applyFont="1" applyFill="1" applyBorder="1" applyAlignment="1">
      <x:alignment horizontal="center"/>
    </x:xf>
    <x:xf numFmtId="201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a5c0c89df4040" /><Relationship Type="http://schemas.openxmlformats.org/officeDocument/2006/relationships/theme" Target="/xl/theme/theme1.xml" Id="Rd2c0a4666e7f46f8" /><Relationship Type="http://schemas.openxmlformats.org/officeDocument/2006/relationships/sharedStrings" Target="/xl/sharedStrings.xml" Id="R19417239885b4f20" /><Relationship Type="http://schemas.openxmlformats.org/officeDocument/2006/relationships/worksheet" Target="/xl/worksheets/sheet1.xml" Id="R3a5bf35a3f8c4ebb" /><Relationship Type="http://schemas.openxmlformats.org/officeDocument/2006/relationships/worksheet" Target="/xl/worksheets/sheet2.xml" Id="Rf5435dc1c1e24f0d" /><Relationship Type="http://schemas.openxmlformats.org/officeDocument/2006/relationships/worksheet" Target="/xl/worksheets/sheet3.xml" Id="Rce4f3662cb484e1b" /><Relationship Type="http://schemas.openxmlformats.org/officeDocument/2006/relationships/worksheet" Target="/xl/worksheets/sheet4.xml" Id="R9b8639debf394fc3" /><Relationship Type="http://schemas.openxmlformats.org/officeDocument/2006/relationships/worksheet" Target="/xl/worksheets/sheet5.xml" Id="Rcb753b740f0f4dbc" /></Relationships>
</file>

<file path=xl/tables/table1.xml><?xml version="1.0" encoding="utf-8"?>
<x:table xmlns:x="http://schemas.openxmlformats.org/spreadsheetml/2006/main" id="1" name="ReusableFormulaLibrary" displayName="ReusableFormulaLibrary" ref="A1:T17" headerRowCount="1" totalsRowCount="0" totalsRowShown="0">
  <x:tableColumns count="20">
    <x:tableColumn id="1" name="素材链接"/>
    <x:tableColumn id="2" name="渠道分类"/>
    <x:tableColumn id="3" name="素材类型"/>
    <x:tableColumn id="4" name="素材亮点"/>
    <x:tableColumn id="5" name="视觉抓人点"/>
    <x:tableColumn id="6" name="用户群体"/>
    <x:tableColumn id="7" name="用户群体关注什么"/>
    <x:tableColumn id="8" name="付费引导"/>
    <x:tableColumn id="9" name="核心场景"/>
    <x:tableColumn id="10" name="逐字脚本"/>
    <x:tableColumn id="11" name="结构公式"/>
    <x:tableColumn id="12" name="核心痛点词"/>
    <x:tableColumn id="13" name="素材一级标签"/>
    <x:tableColumn id="14" name="素材二级标签"/>
    <x:tableColumn id="15" name="前三秒抓人钩子"/>
    <x:tableColumn id="16" name="素材cid"/>
    <x:tableColumn id="17" name="素材场景一级标签"/>
    <x:tableColumn id="18" name="素材场景二级标签"/>
    <x:tableColumn id="19" name="具体功能点"/>
    <x:tableColumn id="20" name="拆解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7a00b6ca4b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4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28" hidden="0" customWidth="1"/>
    <x:col min="17" max="17" width="38" hidden="0" customWidth="1"/>
    <x:col min="18" max="18" width="38" hidden="0" customWidth="1"/>
    <x:col min="19" max="19" width="38" hidden="0" customWidth="1"/>
    <x:col min="20" max="20" width="48" hidden="0" customWidth="1"/>
  </x:cols>
  <x:sheetData>
    <x:row r="1" ht="34" customHeight="1">
      <x:c r="A1" s="12" t="str">
        <x:v>素材链接</x:v>
      </x:c>
      <x:c r="B1" s="13" t="str">
        <x:v>渠道分类</x:v>
      </x:c>
      <x:c r="C1" s="13" t="str">
        <x:v>素材类型</x:v>
      </x:c>
      <x:c r="D1" s="13" t="str">
        <x:v>素材亮点</x:v>
      </x:c>
      <x:c r="E1" s="13" t="str">
        <x:v>视觉抓人点</x:v>
      </x:c>
      <x:c r="F1" s="13" t="str">
        <x:v>用户群体</x:v>
      </x:c>
      <x:c r="G1" s="13" t="str">
        <x:v>用户群体关注什么</x:v>
      </x:c>
      <x:c r="H1" s="13" t="str">
        <x:v>付费引导</x:v>
      </x:c>
      <x:c r="I1" s="13" t="str">
        <x:v>核心场景</x:v>
      </x:c>
      <x:c r="J1" s="13" t="str">
        <x:v>逐字脚本</x:v>
      </x:c>
      <x:c r="K1" s="13" t="str">
        <x:v>结构公式</x:v>
      </x:c>
      <x:c r="L1" s="13" t="str">
        <x:v>核心痛点词</x:v>
      </x:c>
      <x:c r="M1" s="13" t="str">
        <x:v>素材一级标签</x:v>
      </x:c>
      <x:c r="N1" s="13" t="str">
        <x:v>素材二级标签</x:v>
      </x:c>
      <x:c r="O1" s="13" t="str">
        <x:v>前三秒抓人钩子</x:v>
      </x:c>
      <x:c r="P1" s="13" t="str">
        <x:v>素材cid</x:v>
      </x:c>
      <x:c r="Q1" s="13" t="str">
        <x:v>素材场景一级标签</x:v>
      </x:c>
      <x:c r="R1" s="13" t="str">
        <x:v>素材场景二级标签</x:v>
      </x:c>
      <x:c r="S1" s="13" t="str">
        <x:v>具体功能点</x:v>
      </x:c>
      <x:c r="T1" s="14" t="str">
        <x:v>拆解证据</x:v>
      </x:c>
    </x:row>
    <x:row r="2" ht="220" customHeight="1">
      <x:c r="A2" s="35" t="str">
        <x:v>【标准素材URL】
拆解逻辑：统一到可直接访问的素材详情页
底层机制：可追溯性决定后续复盘与去重
可复用公式：https://[平台域名]/[素材路径]/[asset_id]
适用条件：有公开/内部详情页
示例结构：https://example.com/video/123456</x:v>
      </x:c>
      <x:c r="B2" s="36" t="str">
        <x:v>【常规-付费次留双高】
拆解逻辑：常规-付费次留双高：当付费转化≥同渠道基准且次日留存≥基准；优先保留“痛点—演示—结果”完整链。
底层机制：用来源形态＋付费转化相对基准＋次日留存相对基准进行互斥分类
可复用公式：[付费≥同渠道基准]＋[次留≥同渠道基准]
适用条件：先固定归因窗口、样本量和基准；数据不足标‘待观察’
示例结构：常规-付费次留双高：当付费转化≥同渠道基准且次日留存≥基准；优先保留“痛点—演示—结果”完整链。</x:v>
      </x:c>
      <x:c r="C2" s="36" t="str">
        <x:v>【痛点场景类】
拆解逻辑：主要篇幅用于呈现人物、触发事件和损失
底层机制：先激活问题意识，再让产品成为解法
可复用公式：若[痛点/场景时长占比最大]→痛点场景类
适用条件：痛点能被具体画面化
示例结构：熬夜剪片→任务堆积→AI接管</x:v>
      </x:c>
      <x:c r="D2" s="36" t="str">
        <x:v>【痛点连击—立刻解法】
拆解逻辑：痛点连击 → 损失量化 → 产品一句话定位 → 真实操作闭环 → 结果证据 → 低门槛CTA
底层机制：用单一主张制造记忆点并由证据闭环
可复用公式：[人群/痛点]＋[差异化能力]＋[可见证据]＋[具体结果]；只保留一个主亮点
适用条件：亮点必须能在15字内复述且有画面证据
示例结构：痛点连击 → 损失量化 → 产品一句话定位 → 真实操作闭环 → 结果证据 → 低门槛CTA</x:v>
      </x:c>
      <x:c r="E2" s="36" t="str">
        <x:v>【痛点连击—立刻解法】
拆解逻辑：3个痛苦场景0.5秒快切＋红色否定符号；第3秒切真实产品界面形成反差。
底层机制：视觉同时承担模式打断、信息压缩与可信证明
可复用公式：[0-1秒模式打断]→[1-3秒关键信息]→[3秒后证据画面]
适用条件：首帧无声也能理解，且与口播同一主张
示例结构：3个痛苦场景0.5秒快切＋红色否定符号；第3秒切真实产品界面形成反差。</x:v>
      </x:c>
      <x:c r="F2" s="36" t="str">
        <x:v>【痛点连击—立刻解法】
拆解逻辑：[角色]＋[任务阶段]＋[高频痛点]＋[付费意愿]，例：每天手工剪片、急需稳定日更的短视频运营。
底层机制：角色决定熟悉语言，任务阶段决定痛点强度，意图决定CTA
可复用公式：[职业/身份]＋[当前阶段]＋[高频任务]＋[主要阻碍]＋[行动意图]
适用条件：可从同一句话筛掉非目标人群
示例结构：[角色]＋[任务阶段]＋[高频痛点]＋[付费意愿]，例：每天手工剪片、急需稳定日更的短视频运营。</x:v>
      </x:c>
      <x:c r="G2" s="36" t="str">
        <x:v>【痛点连击—立刻解法】
拆解逻辑：能否在[真实环境]把[任务]从[原耗时]降到[结果]；结果是否可验证、是否需要额外学习。
底层机制：用户购买的是风险下降与结果确定性
可复用公式：能否[完成任务]？质量[标准]？成本/耗时[阈值]？是否[可靠/安全]？边界[什么]？
适用条件：至少覆盖结果、成本、可信度中的两项
示例结构：能否在[真实环境]把[任务]从[原耗时]降到[结果]；结果是否可验证、是否需要额外学习。</x:v>
      </x:c>
      <x:c r="H2" s="36" t="str">
        <x:v>【痛点连击—立刻解法】
拆解逻辑：先演示闭环，再给低门槛行动：现在[下载/进直播间/免费试用]，用[首个任务]验证一次。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示例结构：先演示闭环，再给低门槛行动：现在[下载/进直播间/免费试用]，用[首个任务]验证一次。</x:v>
      </x:c>
      <x:c r="I2" s="36" t="str">
        <x:v>【痛点连击—立刻解法】
拆解逻辑：[角色]在[触发事件]下反复[低效动作]，使用[核心功能链]完成[可量化结果]。
底层机制：场景把功能翻译成用户可想象的使用时刻
可复用公式：[谁]在[何时/何地/触发]为了[目标]，用[功能链]完成[结果]
适用条件：必须包含人物、触发、任务、结果四要素
示例结构：[角色]在[触发事件]下反复[低效动作]，使用[核心功能链]完成[可量化结果]。</x:v>
      </x:c>
      <x:c r="J2" s="36" t="str">
        <x:v>【痛点连击—立刻解法】
拆解逻辑：00:00-00:03 ‘还在[动作1]、[动作2]、[动作3]？’；00:03-00:08 放大[时间/收入损失]；00:08-00:25 实录输入[指令]→执行→产出；00:25-00:35 前后结果对比；00:35-00:45 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‘还在[动作1]、[动作2]、[动作3]？’；00:03-00:08 放大[时间/收入损失]；00:08-00:25 实录输入[指令]→执行→产出；00:25-00:35 前后结果对比；00:35-00:45 CTA。</x:v>
      </x:c>
      <x:c r="K2" s="36" t="str">
        <x:v>【痛点连击—立刻解法】
拆解逻辑：痛点连击 → 损失量化 → 产品一句话定位 → 真实操作闭环 → 结果证据 → 低门槛CTA
底层机制：每一段只解决一个心理障碍：注意→相关→相信→想要→行动
可复用公式：痛点连击 → 损失量化 → 产品一句话定位 → 真实操作闭环 → 结果证据 → 低门槛CTA
适用条件：删除任一环节后仍应保持因果连续；CTA不得突然出现
示例结构：痛点连击 → 损失量化 → 产品一句话定位 → 真实操作闭环 → 结果证据 → 低门槛CTA</x:v>
      </x:c>
      <x:c r="L2" s="36" t="str">
        <x:v>【痛点连击—立刻解法】
拆解逻辑：[动作痛点]＋[后果痛点]＋[情绪痛点]，例：反复复制、交付拖延、越忙越乱。
底层机制：动作词可拍、后果词可量化、情绪词可共鸣
可复用公式：[具体低效动作]＋[直接损失]＋[主观感受]；用顿号分隔6-10个词
适用条件：禁止只有‘效率低/体验差’等泛词
示例结构：[动作痛点]＋[后果痛点]＋[情绪痛点]，例：反复复制、交付拖延、越忙越乱。</x:v>
      </x:c>
      <x:c r="M2" s="36" t="str">
        <x:v>【视频任务】
拆解逻辑：当主要任务对象是“视频任务”时选此标签
底层机制：一级标签负责大类互斥，避免一个素材堆多个主标签
可复用公式：主叙事任务=视频任务 AND 主要证据也指向视频任务
适用条件：以时长占比和核心结果判定
示例结构：一级标签=视频任务</x:v>
      </x:c>
      <x:c r="N2" s="36" t="str">
        <x:v>【AI漫剧】
拆解逻辑：用“AI漫剧”描述具体内容形态/业务环境
底层机制：二级标签提高检索精度，不重复一级标签
可复用公式：若画面/口播存在可见的AI漫剧场景证据→AI漫剧
适用条件：证据不足留空；最多1个主二级标签
示例结构：二级标签=AI漫剧</x:v>
      </x:c>
      <x:c r="O2" s="36" t="str">
        <x:v>【痛点连击—立刻解法】
拆解逻辑：[目标人群]，你是不是还在[高频痛苦动作]？每天白白浪费[真实时间/金钱]。
底层机制：用自我相关性＋信息缺口/损失规避/结果承诺阻止划走
可复用公式：[人群点名/反问/结果/冲突]＋[具体对象]＋[未解释差异]
适用条件：3秒内≤2个信息点；画面能立刻支撑口播
示例结构：[目标人群]，你是不是还在[高频痛苦动作]？每天白白浪费[真实时间/金钱]。</x:v>
      </x:c>
      <x:c r="P2" s="36" t="str">
        <x:v>【真实CID】
拆解逻辑：直接取平台导出字段
底层机制：CID是事实主键，不是创作变量
可复用公式：[原始cid]
适用条件：已上线素材
示例结构：7646235355566047275</x:v>
      </x:c>
      <x:c r="Q2" s="36" t="str">
        <x:v>【视频任务】
拆解逻辑：按画面中实际发生的任务判为“视频任务”
底层机制：场景标签只描述被演示的事实，不被结尾口号带偏
可复用公式：可见任务动作/界面=视频任务→场景一级标签=视频任务
适用条件：至少一处时间码证据
示例结构：00:12展示视频任务相关操作</x:v>
      </x:c>
      <x:c r="R2" s="36" t="str">
        <x:v>【AI漫剧】
拆解逻辑：用“AI漫剧”细分画面中的业务环境
底层机制：同一功能在不同场景的转化动机不同
可复用公式：场景一级标签已确定 AND 可见业务对象=AI漫剧
适用条件：场景明确且影响脚本理解
示例结构：场景二级标签=AI漫剧</x:v>
      </x:c>
      <x:c r="S2" s="36" t="str">
        <x:v>【痛点连击—立刻解法】
拆解逻辑：[自然语言下任务]→[自动拆解步骤]→[生成/发布]→[回传结果]；每一步写清输入、动作、输出。
底层机制：功能必须写成可演示动作而非营销形容词
可复用公式：[输入对象]→[系统动作]→[中间状态]→[输出物]→[限制/人工节点]
适用条件：每个功能点都能对应一个UI/动作镜头
示例结构：[自然语言下任务]→[自动拆解步骤]→[生成/发布]→[回传结果]；每一步写清输入、动作、输出。</x:v>
      </x:c>
      <x:c r="T2" s="37" t="str">
        <x:v>【痛点连击—立刻解法】
拆解逻辑：00:00出现[痛点画面/原话]；00:09输入[完整指令]；00:18界面显示[执行状态]；00:27出现[成品/指标]；结论仅覆盖画面可见事实。
底层机制：时间码事实让结论可审计，防止AI把推断写成产品能力
可复用公式：[时间码]＋[可见画面/可听原话]＋[支持的结论]＋[不确定性]
适用条件：事实/推断/待核验分开；不为新脚本伪造证据
示例结构：00:00出现[痛点画面/原话]；00:09输入[完整指令]；00:18界面显示[执行状态]；00:27出现[成品/指标]；结论仅覆盖画面可见事实。</x:v>
      </x:c>
    </x:row>
    <x:row r="3" ht="220" customHeight="1">
      <x:c r="A3" s="38" t="str">
        <x:v>【仅有素材ID】
拆解逻辑：无URL时保留原始唯一ID，不伪装成链接
底层机制：宁可明确缺失，也不制造错误来源
可复用公式：[平台名]:[asset_id]
适用条件：平台导出只有ID
示例结构：素材平台:99877e95...</x:v>
      </x:c>
      <x:c r="B3" s="39" t="str">
        <x:v>【常规-付费低次留高】
拆解逻辑：常规-付费低次留高：留存强但付费弱；保留内容钩子，新增明确权益、价格锚点和行动路径。
底层机制：用来源形态＋付费转化相对基准＋次日留存相对基准进行互斥分类
可复用公式：[付费&lt;同渠道基准]＋[次留≥同渠道基准]
适用条件：先固定归因窗口、样本量和基准；数据不足标‘待观察’
示例结构：常规-付费低次留高：留存强但付费弱；保留内容钩子，新增明确权益、价格锚点和行动路径。</x:v>
      </x:c>
      <x:c r="C3" s="39" t="str">
        <x:v>【品宣功能类】
拆解逻辑：主要篇幅用于展示能力、操作链与成果
底层机制：用证据降低新功能理解和信任成本
可复用公式：若[真实功能演示/能力解释占比最大]→品宣功能类
适用条件：新品/复杂功能教育
示例结构：输入指令→执行→回传成果</x:v>
      </x:c>
      <x:c r="D3" s="39" t="str">
        <x:v>【反直觉结果—悬念证明】
拆解逻辑：反直觉结果 → 制造解释缺口 → 产品定位 → 设置/执行/送达证据 → 状态收益 → CTA
底层机制：用单一主张制造记忆点并由证据闭环
可复用公式：[人群/痛点]＋[差异化能力]＋[可见证据]＋[具体结果]；只保留一个主亮点
适用条件：亮点必须能在15字内复述且有画面证据
示例结构：反直觉结果 → 制造解释缺口 → 产品定位 → 设置/执行/送达证据 → 状态收益 → CTA</x:v>
      </x:c>
      <x:c r="E3" s="39" t="str">
        <x:v>【反直觉结果—悬念证明】
拆解逻辑：人物先展示结果状态（下班/成片/成交），屏幕外任务仍继续；大字抛出未解释结果。
底层机制：视觉同时承担模式打断、信息压缩与可信证明
可复用公式：[0-1秒模式打断]→[1-3秒关键信息]→[3秒后证据画面]
适用条件：首帧无声也能理解，且与口播同一主张
示例结构：人物先展示结果状态（下班/成片/成交），屏幕外任务仍继续；大字抛出未解释结果。</x:v>
      </x:c>
      <x:c r="F3" s="39" t="str">
        <x:v>【反直觉结果—悬念证明】
拆解逻辑：[追求结果的角色]＋[被旧流程束缚]＋[渴望状态]，例：想准点下班但要定时发报表的运营。
底层机制：角色决定熟悉语言，任务阶段决定痛点强度，意图决定CTA
可复用公式：[职业/身份]＋[当前阶段]＋[高频任务]＋[主要阻碍]＋[行动意图]
适用条件：可从同一句话筛掉非目标人群
示例结构：[追求结果的角色]＋[被旧流程束缚]＋[渴望状态]，例：想准点下班但要定时发报表的运营。</x:v>
      </x:c>
      <x:c r="G3" s="39" t="str">
        <x:v>【反直觉结果—悬念证明】
拆解逻辑：‘不在场也能完成’是否真实；执行稳定性、跨端状态、失败提醒与结果质量如何。
底层机制：用户购买的是风险下降与结果确定性
可复用公式：能否[完成任务]？质量[标准]？成本/耗时[阈值]？是否[可靠/安全]？边界[什么]？
适用条件：至少覆盖结果、成本、可信度中的两项
示例结构：‘不在场也能完成’是否真实；执行稳定性、跨端状态、失败提醒与结果质量如何。</x:v>
      </x:c>
      <x:c r="H3" s="39" t="str">
        <x:v>【反直觉结果—悬念证明】
拆解逻辑：承诺之后给验证入口：把你的[任务]交给它跑一次；[试用权益/版本权益]写清。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示例结构：承诺之后给验证入口：把你的[任务]交给它跑一次；[试用权益/版本权益]写清。</x:v>
      </x:c>
      <x:c r="I3" s="39" t="str">
        <x:v>【反直觉结果—悬念证明】
拆解逻辑：[用户离开/切换设备]后，[AI/自动化]继续执行[周期任务]并把[结果]送达。
底层机制：场景把功能翻译成用户可想象的使用时刻
可复用公式：[谁]在[何时/何地/触发]为了[目标]，用[功能链]完成[结果]
适用条件：必须包含人物、触发、任务、结果四要素
示例结构：[用户离开/切换设备]后，[AI/自动化]继续执行[周期任务]并把[结果]送达。</x:v>
      </x:c>
      <x:c r="J3" s="39" t="str">
        <x:v>【反直觉结果—悬念证明】
拆解逻辑：00:00-00:03 先给[反直觉结果]；00:03-00:08 追问‘怎么做到？’；00:08-00:28 展示设置任务、后台执行、结果送达；00:28-00:38 补稳定性证据；00:38-00:45 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先给[反直觉结果]；00:03-00:08 追问‘怎么做到？’；00:08-00:28 展示设置任务、后台执行、结果送达；00:28-00:38 补稳定性证据；00:38-00:45 CTA。</x:v>
      </x:c>
      <x:c r="K3" s="39" t="str">
        <x:v>【反直觉结果—悬念证明】
拆解逻辑：反直觉结果 → 制造解释缺口 → 产品定位 → 设置/执行/送达证据 → 状态收益 → CTA
底层机制：每一段只解决一个心理障碍：注意→相关→相信→想要→行动
可复用公式：反直觉结果 → 制造解释缺口 → 产品定位 → 设置/执行/送达证据 → 状态收益 → CTA
适用条件：删除任一环节后仍应保持因果连续；CTA不得突然出现
示例结构：反直觉结果 → 制造解释缺口 → 产品定位 → 设置/执行/送达证据 → 状态收益 → CTA</x:v>
      </x:c>
      <x:c r="L3" s="39" t="str">
        <x:v>【反直觉结果—悬念证明】
拆解逻辑：[不能离场]＋[随时待命]＋[被任务绑住]，例：守着电脑、错过节点、下班仍加班。
底层机制：动作词可拍、后果词可量化、情绪词可共鸣
可复用公式：[具体低效动作]＋[直接损失]＋[主观感受]；用顿号分隔6-10个词
适用条件：禁止只有‘效率低/体验差’等泛词
示例结构：[不能离场]＋[随时待命]＋[被任务绑住]，例：守着电脑、错过节点、下班仍加班。</x:v>
      </x:c>
      <x:c r="M3" s="39" t="str">
        <x:v>【AI团队】
拆解逻辑：当主要任务对象是“AI团队”时选此标签
底层机制：一级标签负责大类互斥，避免一个素材堆多个主标签
可复用公式：主叙事任务=AI团队 AND 主要证据也指向AI团队
适用条件：以时长占比和核心结果判定
示例结构：一级标签=AI团队</x:v>
      </x:c>
      <x:c r="N3" s="39" t="str">
        <x:v>【自媒体】
拆解逻辑：用“自媒体”描述具体内容形态/业务环境
底层机制：二级标签提高检索精度，不重复一级标签
可复用公式：若画面/口播存在可见的自媒体场景证据→自媒体
适用条件：证据不足留空；最多1个主二级标签
示例结构：二级标签=自媒体</x:v>
      </x:c>
      <x:c r="O3" s="39" t="str">
        <x:v>【反直觉结果—悬念证明】
拆解逻辑：你敢相信吗？[看似不可能结果]，现在只要[极简动作]。
底层机制：用自我相关性＋信息缺口/损失规避/结果承诺阻止划走
可复用公式：[人群点名/反问/结果/冲突]＋[具体对象]＋[未解释差异]
适用条件：3秒内≤2个信息点；画面能立刻支撑口播
示例结构：你敢相信吗？[看似不可能结果]，现在只要[极简动作]。</x:v>
      </x:c>
      <x:c r="P3" s="39" t="str">
        <x:v>【新脚本占位】
拆解逻辑：生成阶段不得虚构CID
底层机制：避免脏数据进入投放库
可复用公式：待上线生成
适用条件：尚未投放
示例结构：待上线生成</x:v>
      </x:c>
      <x:c r="Q3" s="39" t="str">
        <x:v>【AI团队】
拆解逻辑：按画面中实际发生的任务判为“AI团队”
底层机制：场景标签只描述被演示的事实，不被结尾口号带偏
可复用公式：可见任务动作/界面=AI团队→场景一级标签=AI团队
适用条件：至少一处时间码证据
示例结构：00:12展示AI团队相关操作</x:v>
      </x:c>
      <x:c r="R3" s="39" t="str">
        <x:v>【自媒体】
拆解逻辑：用“自媒体”细分画面中的业务环境
底层机制：同一功能在不同场景的转化动机不同
可复用公式：场景一级标签已确定 AND 可见业务对象=自媒体
适用条件：场景明确且影响脚本理解
示例结构：场景二级标签=自媒体</x:v>
      </x:c>
      <x:c r="S3" s="39" t="str">
        <x:v>【反直觉结果—悬念证明】
拆解逻辑：定时任务＋后台运行＋状态通知＋结果跨端送达；补充异常提醒/人工接管边界。
底层机制：功能必须写成可演示动作而非营销形容词
可复用公式：[输入对象]→[系统动作]→[中间状态]→[输出物]→[限制/人工节点]
适用条件：每个功能点都能对应一个UI/动作镜头
示例结构：定时任务＋后台运行＋状态通知＋结果跨端送达；补充异常提醒/人工接管边界。</x:v>
      </x:c>
      <x:c r="T3" s="40" t="str">
        <x:v>【反直觉结果—悬念证明】
拆解逻辑：先记录结果画面，再记录任务设置时间、后台状态与送达时间；若未展示异常处理，不声称‘永不失败’。
底层机制：时间码事实让结论可审计，防止AI把推断写成产品能力
可复用公式：[时间码]＋[可见画面/可听原话]＋[支持的结论]＋[不确定性]
适用条件：事实/推断/待核验分开；不为新脚本伪造证据
示例结构：先记录结果画面，再记录任务设置时间、后台状态与送达时间；若未展示异常处理，不声称‘永不失败’。</x:v>
      </x:c>
    </x:row>
    <x:row r="4" ht="220" customHeight="1">
      <x:c r="A4" s="38" t="str">
        <x:v>【带版本链接】
拆解逻辑：同一创意的不同剪辑版用版本参数/字段区分
底层机制：实验必须能回溯到具体版本
可复用公式：[canonical_url]#v[版本]-[钩子]-[CTA]
适用条件：A/B多版本
示例结构：.../123#v2-反问钩子-直播CTA</x:v>
      </x:c>
      <x:c r="B4" s="39" t="str">
        <x:v>【常规付费高次留低】
拆解逻辑：常规付费高次留低：转化强但留存弱；保留促单表达，补长期使用场景、复用价值和真实能力边界。
底层机制：用来源形态＋付费转化相对基准＋次日留存相对基准进行互斥分类
可复用公式：[付费≥同渠道基准]＋[次留&lt;同渠道基准]
适用条件：先固定归因窗口、样本量和基准；数据不足标‘待观察’
示例结构：常规付费高次留低：转化强但留存弱；保留促单表达，补长期使用场景、复用价值和真实能力边界。</x:v>
      </x:c>
      <x:c r="C4" s="39" t="str">
        <x:v>【利益感受类】
拆解逻辑：主要篇幅呈现用户获得的状态与结果
底层机制：人先购买理想状态，再接受功能理由
可复用公式：若[轻松/专业/自由/增收等结果感占比最大]→利益感受类
适用条件：功能同质、需情绪价值
示例结构：人走活不停→准点下班</x:v>
      </x:c>
      <x:c r="D4" s="39" t="str">
        <x:v>【前后对比—差距放大】
拆解逻辑：同题对比钩子 → 旧流程成本 → 新流程实录 → 成品同屏 → 差距量化 → CTA
底层机制：用单一主张制造记忆点并由证据闭环
可复用公式：[人群/痛点]＋[差异化能力]＋[可见证据]＋[具体结果]；只保留一个主亮点
适用条件：亮点必须能在15字内复述且有画面证据
示例结构：同题对比钩子 → 旧流程成本 → 新流程实录 → 成品同屏 → 差距量化 → CTA</x:v>
      </x:c>
      <x:c r="E4" s="39" t="str">
        <x:v>【前后对比—差距放大】
拆解逻辑：左右分屏：左侧手工多步骤/计时器，右侧一句指令/自动产出；结尾同屏比结果。
底层机制：视觉同时承担模式打断、信息压缩与可信证明
可复用公式：[0-1秒模式打断]→[1-3秒关键信息]→[3秒后证据画面]
适用条件：首帧无声也能理解，且与口播同一主张
示例结构：左右分屏：左侧手工多步骤/计时器，右侧一句指令/自动产出；结尾同屏比结果。</x:v>
      </x:c>
      <x:c r="F4" s="39" t="str">
        <x:v>【前后对比—差距放大】
拆解逻辑：[熟悉旧流程的专业用户]＋[效率瓶颈]，例：需要反复改分镜、剪辑和出片的漫剧创作者。
底层机制：角色决定熟悉语言，任务阶段决定痛点强度，意图决定CTA
可复用公式：[职业/身份]＋[当前阶段]＋[高频任务]＋[主要阻碍]＋[行动意图]
适用条件：可从同一句话筛掉非目标人群
示例结构：[熟悉旧流程的专业用户]＋[效率瓶颈]，例：需要反复改分镜、剪辑和出片的漫剧创作者。</x:v>
      </x:c>
      <x:c r="G4" s="39" t="str">
        <x:v>【前后对比—差距放大】
拆解逻辑：速度提升是否牺牲质量；复杂任务能否修改；产出是否可控、可商用、可继续编辑。
底层机制：用户购买的是风险下降与结果确定性
可复用公式：能否[完成任务]？质量[标准]？成本/耗时[阈值]？是否[可靠/安全]？边界[什么]？
适用条件：至少覆盖结果、成本、可信度中的两项
示例结构：速度提升是否牺牲质量；复杂任务能否修改；产出是否可控、可商用、可继续编辑。</x:v>
      </x:c>
      <x:c r="H4" s="39" t="str">
        <x:v>【前后对比—差距放大】
拆解逻辑：用成本差做价格锚定：原来[时间/外包成本]，现在[权益/价格]；立即用同一任务对比。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示例结构：用成本差做价格锚定：原来[时间/外包成本]，现在[权益/价格]；立即用同一任务对比。</x:v>
      </x:c>
      <x:c r="I4" s="39" t="str">
        <x:v>【前后对比—差距放大】
拆解逻辑：同一[任务输入]分别走手工流程与AI流程，对比[步骤数/耗时/质量/成本]。
底层机制：场景把功能翻译成用户可想象的使用时刻
可复用公式：[谁]在[何时/何地/触发]为了[目标]，用[功能链]完成[结果]
适用条件：必须包含人物、触发、任务、结果四要素
示例结构：同一[任务输入]分别走手工流程与AI流程，对比[步骤数/耗时/质量/成本]。</x:v>
      </x:c>
      <x:c r="J4" s="39" t="str">
        <x:v>【前后对比—差距放大】
拆解逻辑：00:00-00:03 ‘左边[旧方法]，右边[新方法]’；00:03-00:18 双线同步执行；00:18-00:28 展示成品细节；00:28-00:35 四维对比；00:35-00:45 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‘左边[旧方法]，右边[新方法]’；00:03-00:18 双线同步执行；00:18-00:28 展示成品细节；00:28-00:35 四维对比；00:35-00:45 CTA。</x:v>
      </x:c>
      <x:c r="K4" s="39" t="str">
        <x:v>【前后对比—差距放大】
拆解逻辑：同题对比钩子 → 旧流程成本 → 新流程实录 → 成品同屏 → 差距量化 → CTA
底层机制：每一段只解决一个心理障碍：注意→相关→相信→想要→行动
可复用公式：同题对比钩子 → 旧流程成本 → 新流程实录 → 成品同屏 → 差距量化 → CTA
适用条件：删除任一环节后仍应保持因果连续；CTA不得突然出现
示例结构：同题对比钩子 → 旧流程成本 → 新流程实录 → 成品同屏 → 差距量化 → CTA</x:v>
      </x:c>
      <x:c r="L4" s="39" t="str">
        <x:v>【前后对比—差距放大】
拆解逻辑：步骤多、等待久、返工多、外包贵、质量不稳定；只选择与画面证据一致的词。
底层机制：动作词可拍、后果词可量化、情绪词可共鸣
可复用公式：[具体低效动作]＋[直接损失]＋[主观感受]；用顿号分隔6-10个词
适用条件：禁止只有‘效率低/体验差’等泛词
示例结构：步骤多、等待久、返工多、外包贵、质量不稳定；只选择与画面证据一致的词。</x:v>
      </x:c>
      <x:c r="M4" s="39" t="str">
        <x:v>【编程项目】
拆解逻辑：当主要任务对象是“编程项目”时选此标签
底层机制：一级标签负责大类互斥，避免一个素材堆多个主标签
可复用公式：主叙事任务=编程项目 AND 主要证据也指向编程项目
适用条件：以时长占比和核心结果判定
示例结构：一级标签=编程项目</x:v>
      </x:c>
      <x:c r="N4" s="39" t="str">
        <x:v>【项目管理】
拆解逻辑：用“项目管理”描述具体内容形态/业务环境
底层机制：二级标签提高检索精度，不重复一级标签
可复用公式：若画面/口播存在可见的项目管理场景证据→项目管理
适用条件：证据不足留空；最多1个主二级标签
示例结构：二级标签=项目管理</x:v>
      </x:c>
      <x:c r="O4" s="39" t="str">
        <x:v>【前后对比—差距放大】
拆解逻辑：同样做[任务]：别人要[旧流程]，我只做[一个动作]。
底层机制：用自我相关性＋信息缺口/损失规避/结果承诺阻止划走
可复用公式：[人群点名/反问/结果/冲突]＋[具体对象]＋[未解释差异]
适用条件：3秒内≤2个信息点；画面能立刻支撑口播
示例结构：同样做[任务]：别人要[旧流程]，我只做[一个动作]。</x:v>
      </x:c>
      <x:c r="P4" s="39" t="str">
        <x:v>【多平台CID】
拆解逻辑：同一创意跨平台分开记录
底层机制：平台ID命名空间不同
可复用公式：[平台]:[cid]
适用条件：跨平台分发
示例结构：抖音:7646...</x:v>
      </x:c>
      <x:c r="Q4" s="39" t="str">
        <x:v>【编程项目】
拆解逻辑：按画面中实际发生的任务判为“编程项目”
底层机制：场景标签只描述被演示的事实，不被结尾口号带偏
可复用公式：可见任务动作/界面=编程项目→场景一级标签=编程项目
适用条件：至少一处时间码证据
示例结构：00:12展示编程项目相关操作</x:v>
      </x:c>
      <x:c r="R4" s="39" t="str">
        <x:v>【电商】
拆解逻辑：用“电商”细分画面中的业务环境
底层机制：同一功能在不同场景的转化动机不同
可复用公式：场景一级标签已确定 AND 可见业务对象=电商
适用条件：场景明确且影响脚本理解
示例结构：场景二级标签=电商</x:v>
      </x:c>
      <x:c r="S4" s="39" t="str">
        <x:v>【前后对比—差距放大】
拆解逻辑：同一输入下列出旧流程N步与新流程N步；结果比较至少覆盖耗时、修改性和成片质量。
底层机制：功能必须写成可演示动作而非营销形容词
可复用公式：[输入对象]→[系统动作]→[中间状态]→[输出物]→[限制/人工节点]
适用条件：每个功能点都能对应一个UI/动作镜头
示例结构：同一输入下列出旧流程N步与新流程N步；结果比较至少覆盖耗时、修改性和成片质量。</x:v>
      </x:c>
      <x:c r="T4" s="40" t="str">
        <x:v>【前后对比—差距放大】
拆解逻辑：记录左右流程起止时间、步骤数量和同一成品局部；不使用不同难度任务做伪对比。
底层机制：时间码事实让结论可审计，防止AI把推断写成产品能力
可复用公式：[时间码]＋[可见画面/可听原话]＋[支持的结论]＋[不确定性]
适用条件：事实/推断/待核验分开；不为新脚本伪造证据
示例结构：记录左右流程起止时间、步骤数量和同一成品局部；不使用不同难度任务做伪对比。</x:v>
      </x:c>
    </x:row>
    <x:row r="5" ht="220" customHeight="1">
      <x:c r="A5" s="38" t="str">
        <x:v>【去追踪参数】
拆解逻辑：删除utm、临时token等不影响素材身份的参数
底层机制：减少同素材重复入库
可复用公式：canonical([原始URL])→保留[平台+路径+主ID]
适用条件：URL参数变化频繁
示例结构：去掉?utm_source=...</x:v>
      </x:c>
      <x:c r="B5" s="39" t="str">
        <x:v>【付费次留双低】
拆解逻辑：常规-付费次留双高：适合放量；保持核心演示不变，仅迭代钩子、节奏和CTA做增量测试。
底层机制：用来源形态＋付费转化相对基准＋次日留存相对基准进行互斥分类
可复用公式：[付费&lt;同渠道基准]＋[次留&lt;同渠道基准]
适用条件：先固定归因窗口、样本量和基准；数据不足标‘待观察’
示例结构：常规-付费次留双高：适合放量；保持核心演示不变，仅迭代钩子、节奏和CTA做增量测试。</x:v>
      </x:c>
      <x:c r="C5" s="39" t="str">
        <x:v>【时长占比法】
拆解逻辑：按三类内容在总时长中的最大占比判主类型
底层机制：主要叙事重心比是否出现某元素更可靠
可复用公式：type=ARGMAX([痛点场景秒数],[功能演示秒数],[利益感受秒数])
适用条件：混合脚本
示例结构：功能演示24秒最高→品宣功能类</x:v>
      </x:c>
      <x:c r="D5" s="39" t="str">
        <x:v>【真实UI闭环—能力证据】
拆解逻辑：证据承诺 → 原始输入 → 连续UI操作链 → 中间回执 → 最终成果 → 可复现CTA
底层机制：用单一主张制造记忆点并由证据闭环
可复用公式：[人群/痛点]＋[差异化能力]＋[可见证据]＋[具体结果]；只保留一个主亮点
适用条件：亮点必须能在15字内复述且有画面证据
示例结构：证据承诺 → 原始输入 → 连续UI操作链 → 中间回执 → 最终成果 → 可复现CTA</x:v>
      </x:c>
      <x:c r="E5" s="39" t="str">
        <x:v>【真实UI闭环—能力证据】
拆解逻辑：鼠标/触控动作、输入框、执行状态、过程产物、最终文件连续出现；关键点击局部放大。
底层机制：视觉同时承担模式打断、信息压缩与可信证明
可复用公式：[0-1秒模式打断]→[1-3秒关键信息]→[3秒后证据画面]
适用条件：首帧无声也能理解，且与口播同一主张
示例结构：鼠标/触控动作、输入框、执行状态、过程产物、最终文件连续出现；关键点击局部放大。</x:v>
      </x:c>
      <x:c r="F5" s="39" t="str">
        <x:v>【真实UI闭环—能力证据】
拆解逻辑：[高意向理性用户]＋[已知需求]＋[担心能力虚假]，例：评估多人多Agent协作的项目经理。
底层机制：角色决定熟悉语言，任务阶段决定痛点强度，意图决定CTA
可复用公式：[职业/身份]＋[当前阶段]＋[高频任务]＋[主要阻碍]＋[行动意图]
适用条件：可从同一句话筛掉非目标人群
示例结构：[高意向理性用户]＋[已知需求]＋[担心能力虚假]，例：评估多人多Agent协作的项目经理。</x:v>
      </x:c>
      <x:c r="G5" s="39" t="str">
        <x:v>【真实UI闭环—能力证据】
拆解逻辑：流程能否真正跑通；中间步骤是否可见可改；产物是否完整；失败时如何接管。
底层机制：用户购买的是风险下降与结果确定性
可复用公式：能否[完成任务]？质量[标准]？成本/耗时[阈值]？是否[可靠/安全]？边界[什么]？
适用条件：至少覆盖结果、成本、可信度中的两项
示例结构：流程能否真正跑通；中间步骤是否可见可改；产物是否完整；失败时如何接管。</x:v>
      </x:c>
      <x:c r="H5" s="39" t="str">
        <x:v>【真实UI闭环—能力证据】
拆解逻辑：功能闭环后引导复制同款任务模板：点击[入口]，导入[示例项目/模板]直接试。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示例结构：功能闭环后引导复制同款任务模板：点击[入口]，导入[示例项目/模板]直接试。</x:v>
      </x:c>
      <x:c r="I5" s="39" t="str">
        <x:v>【真实UI闭环—能力证据】
拆解逻辑：用户在真实项目中输入[任务]，系统完成[步骤1→步骤2→步骤3]并交付[成果包]。
底层机制：场景把功能翻译成用户可想象的使用时刻
可复用公式：[谁]在[何时/何地/触发]为了[目标]，用[功能链]完成[结果]
适用条件：必须包含人物、触发、任务、结果四要素
示例结构：用户在真实项目中输入[任务]，系统完成[步骤1→步骤2→步骤3]并交付[成果包]。</x:v>
      </x:c>
      <x:c r="J5" s="39" t="str">
        <x:v>【真实UI闭环—能力证据】
拆解逻辑：00:00-00:03 承诺‘全程实录’；00:03-00:08 展示原始输入；00:08-00:30 连续录屏执行链；00:30-00:38 打开最终产物；00:38-00:45 总结边界＋CTA。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承诺‘全程实录’；00:03-00:08 展示原始输入；00:08-00:30 连续录屏执行链；00:30-00:38 打开最终产物；00:38-00:45 总结边界＋CTA。</x:v>
      </x:c>
      <x:c r="K5" s="39" t="str">
        <x:v>【真实UI闭环—能力证据】
拆解逻辑：证据承诺 → 原始输入 → 连续UI操作链 → 中间回执 → 最终成果 → 可复现CTA
底层机制：每一段只解决一个心理障碍：注意→相关→相信→想要→行动
可复用公式：证据承诺 → 原始输入 → 连续UI操作链 → 中间回执 → 最终成果 → 可复现CTA
适用条件：删除任一环节后仍应保持因果连续；CTA不得突然出现
示例结构：证据承诺 → 原始输入 → 连续UI操作链 → 中间回执 → 最终成果 → 可复现CTA</x:v>
      </x:c>
      <x:c r="L5" s="39" t="str">
        <x:v>【真实UI闭环—能力证据】
拆解逻辑：AI只会聊天、演示剪辑造假、中间过程不可控、结果不可用、不能复现。
底层机制：动作词可拍、后果词可量化、情绪词可共鸣
可复用公式：[具体低效动作]＋[直接损失]＋[主观感受]；用顿号分隔6-10个词
适用条件：禁止只有‘效率低/体验差’等泛词
示例结构：AI只会聊天、演示剪辑造假、中间过程不可控、结果不可用、不能复现。</x:v>
      </x:c>
      <x:c r="M5" s="39" t="str">
        <x:v>【Excel任务】
拆解逻辑：当主要任务对象是“Excel任务”时选此标签
底层机制：一级标签负责大类互斥，避免一个素材堆多个主标签
可复用公式：主叙事任务=Excel任务 AND 主要证据也指向Excel任务
适用条件：以时长占比和核心结果判定
示例结构：一级标签=Excel任务</x:v>
      </x:c>
      <x:c r="N5" s="39" t="str">
        <x:v>【多元场景】
拆解逻辑：用“多元场景”描述具体内容形态/业务环境
底层机制：二级标签提高检索精度，不重复一级标签
可复用公式：若画面/口播存在可见的多元场景场景证据→多元场景
适用条件：证据不足留空；最多1个主二级标签
示例结构：二级标签=多元场景</x:v>
      </x:c>
      <x:c r="O5" s="39" t="str">
        <x:v>【真实UI闭环—能力证据】
拆解逻辑：别听我说，直接看[产品]怎么从[输入]做到[最终结果]。
底层机制：用自我相关性＋信息缺口/损失规避/结果承诺阻止划走
可复用公式：[人群点名/反问/结果/冲突]＋[具体对象]＋[未解释差异]
适用条件：3秒内≤2个信息点；画面能立刻支撑口播
示例结构：别听我说，直接看[产品]怎么从[输入]做到[最终结果]。</x:v>
      </x:c>
      <x:c r="P5" s="39" t="str">
        <x:v>【CID核验】
拆解逻辑：只允许数字/平台规定格式，并与链接主ID交叉验证
底层机制：减少复制错位
可复用公式：IF([cid匹配平台规则] AND [链接可对应],保留,待核验)
适用条件：批量导入
示例结构：待核验：链接ID与CID不一致</x:v>
      </x:c>
      <x:c r="Q5" s="39" t="str">
        <x:v>【设计任务】
拆解逻辑：按画面中实际发生的任务判为“设计任务”
底层机制：场景标签只描述被演示的事实，不被结尾口号带偏
可复用公式：可见任务动作/界面=设计任务→场景一级标签=设计任务
适用条件：至少一处时间码证据
示例结构：00:12展示设计任务相关操作</x:v>
      </x:c>
      <x:c r="R5" s="39" t="str">
        <x:v>【网页】
拆解逻辑：用“网页”细分画面中的业务环境
底层机制：同一功能在不同场景的转化动机不同
可复用公式：场景一级标签已确定 AND 可见业务对象=网页
适用条件：场景明确且影响脚本理解
示例结构：场景二级标签=网页</x:v>
      </x:c>
      <x:c r="S5" s="39" t="str">
        <x:v>【真实UI闭环—能力证据】
拆解逻辑：创建项目→添加真人/Agent→@分派→回传数据/文案/视觉→汇总成果；动作对象要具体。
底层机制：功能必须写成可演示动作而非营销形容词
可复用公式：[输入对象]→[系统动作]→[中间状态]→[输出物]→[限制/人工节点]
适用条件：每个功能点都能对应一个UI/动作镜头
示例结构：创建项目→添加真人/Agent→@分派→回传数据/文案/视觉→汇总成果；动作对象要具体。</x:v>
      </x:c>
      <x:c r="T5" s="40" t="str">
        <x:v>【真实UI闭环—能力证据】
拆解逻辑：按时间顺序记录每次输入、状态变化与文件名；镜头跳切处注明‘未展示/无法验证’，不补写。
底层机制：时间码事实让结论可审计，防止AI把推断写成产品能力
可复用公式：[时间码]＋[可见画面/可听原话]＋[支持的结论]＋[不确定性]
适用条件：事实/推断/待核验分开；不为新脚本伪造证据
示例结构：按时间顺序记录每次输入、状态变化与文件名；镜头跳切处注明‘未展示/无法验证’，不补写。</x:v>
      </x:c>
    </x:row>
    <x:row r="6" ht="220" customHeight="1">
      <x:c r="A6" s="38" t="str">
        <x:v>【组合唯一键】
拆解逻辑：链接非唯一时用平台、账户、素材ID组合
底层机制：避免跨账户ID冲突
可复用公式：[平台]|[账户ID]|[素材ID]
适用条件：多平台/多账户库
示例结构：巨量|account_01|cid_123</x:v>
      </x:c>
      <x:c r="B6" s="39" t="str">
        <x:v>【直播】
拆解逻辑：常规-付费低次留高：新奇功能吸引强；用‘适合谁/解决什么/为什么付费’承接，减少只看热闹。
底层机制：用来源形态＋付费转化相对基准＋次日留存相对基准进行互斥分类
可复用公式：来源=直播/直播切片 OR 主CTA=进直播间
适用条件：先固定归因窗口、样本量和基准；数据不足标‘待观察’
示例结构：常规-付费低次留高：新奇功能吸引强；用‘适合谁/解决什么/为什么付费’承接，减少只看热闹。</x:v>
      </x:c>
      <x:c r="C6" s="39" t="str">
        <x:v>【开场不定类】
拆解逻辑：前三秒钩子类型不等于全片类型
底层机制：痛点钩子可以服务功能主叙事
可复用公式：主类型按全片；另在钩子字段记录开场机制
适用条件：痛点开场＋长功能演示
示例结构：主类型=品宣功能类</x:v>
      </x:c>
      <x:c r="D6" s="39" t="str">
        <x:v>【单点黑科技—新奇演示】
拆解逻辑：奇观动作 → 一句话解释 → 原速演示 → 使用场景 → 边界/安全 → 权益CTA
底层机制：用过程证据消除不信任
可复用公式：[人群/痛点]＋[差异化能力]＋[可见证据]＋[具体结果]；只保留一个主亮点
适用条件：亮点必须能在15字内复述且有画面证据
示例结构：奇观动作 → 一句话解释 → 原速演示 → 使用场景 → 边界/安全 → 权益CTA</x:v>
      </x:c>
      <x:c r="E6" s="39" t="str">
        <x:v>【单点黑科技—新奇演示】
拆解逻辑：极近景展示自动点击、跨设备调用或自动操作；动作前后加状态灯/光标轨迹。
底层机制：视觉同时承担模式打断、信息压缩与可信证明
可复用公式：[0-1秒模式打断]→[1-3秒关键信息]→[3秒后证据画面]
适用条件：首帧无声也能理解，且与口播同一主张
示例结构：极近景展示自动点击、跨设备调用或自动操作；动作前后加状态灯/光标轨迹。</x:v>
      </x:c>
      <x:c r="F6" s="39" t="str">
        <x:v>【单点黑科技—新奇演示】
拆解逻辑：[早期尝鲜者/效率极客]＋[明确自动化任务]，例：希望云手机24小时运营账号的自媒体人。
底层机制：角色决定熟悉语言，任务阶段决定痛点强度，意图决定CTA
可复用公式：[职业/身份]＋[当前阶段]＋[高频任务]＋[主要阻碍]＋[行动意图]
适用条件：可从同一句话筛掉非目标人群
示例结构：[早期尝鲜者/效率极客]＋[明确自动化任务]，例：希望云手机24小时运营账号的自媒体人。</x:v>
      </x:c>
      <x:c r="G6" s="39" t="str">
        <x:v>【单点黑科技—新奇演示】
拆解逻辑：是否真的自动；支持哪些应用/设备；安全与权限；稳定性；适用边界。
底层机制：用户购买的是风险下降与结果确定性
可复用公式：能否[完成任务]？质量[标准]？成本/耗时[阈值]？是否[可靠/安全]？边界[什么]？
适用条件：至少覆盖结果、成本、可信度中的两项
示例结构：是否真的自动；支持哪些应用/设备；安全与权限；稳定性；适用边界。</x:v>
      </x:c>
      <x:c r="H6" s="39" t="str">
        <x:v>【单点黑科技—新奇演示】
拆解逻辑：限定适用对象后转化：如果你每天要[重复任务]，现在解锁[对应权益]；非适用者不硬推。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示例结构：限定适用对象后转化：如果你每天要[重复任务]，现在解锁[对应权益]；非适用者不硬推。</x:v>
      </x:c>
      <x:c r="I6" s="39" t="str">
        <x:v>【单点黑科技—新奇演示】
拆解逻辑：[云设备/Agent]在无人值守时完成[具体动作]，用户只在关键节点确认。
底层机制：场景把功能翻译成用户可想象的使用时刻
可复用公式：[谁]在[何时/何地/触发]为了[目标]，用[功能链]完成[结果]
适用条件：必须包含人物、触发、任务、结果四要素
示例结构：[云设备/Agent]在无人值守时完成[具体动作]，用户只在关键节点确认。</x:v>
      </x:c>
      <x:c r="J6" s="39" t="str">
        <x:v>【单点黑科技—新奇演示】
拆解逻辑：00:00-00:03 展示最不可思议动作；00:03-00:08 一句话解释；00:08-00:25 原速演示设置与执行；00:25-00:35 给适用/不适用边界；00:35-00:45 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展示最不可思议动作；00:03-00:08 一句话解释；00:08-00:25 原速演示设置与执行；00:25-00:35 给适用/不适用边界；00:35-00:45 CTA。</x:v>
      </x:c>
      <x:c r="K6" s="39" t="str">
        <x:v>【单点黑科技—新奇演示】
拆解逻辑：奇观动作 → 一句话解释 → 原速演示 → 使用场景 → 边界/安全 → 权益CTA
底层机制：每一段只解决一个心理障碍：注意→相关→相信→想要→行动
可复用公式：奇观动作 → 一句话解释 → 原速演示 → 使用场景 → 边界/安全 → 权益CTA
适用条件：删除任一环节后仍应保持因果连续；CTA不得突然出现
示例结构：奇观动作 → 一句话解释 → 原速演示 → 使用场景 → 边界/安全 → 权益CTA</x:v>
      </x:c>
      <x:c r="L6" s="39" t="str">
        <x:v>【单点黑科技—新奇演示】
拆解逻辑：必须守机、重复点击、夜间任务、设备占用、跨端取文件、自动化门槛。
底层机制：动作词可拍、后果词可量化、情绪词可共鸣
可复用公式：[具体低效动作]＋[直接损失]＋[主观感受]；用顿号分隔6-10个词
适用条件：禁止只有‘效率低/体验差’等泛词
示例结构：必须守机、重复点击、夜间任务、设备占用、跨端取文件、自动化门槛。</x:v>
      </x:c>
      <x:c r="M6" s="39" t="str">
        <x:v>【项目管理】
拆解逻辑：当主要任务对象是“项目管理”时选此标签
底层机制：一级标签负责大类互斥，避免一个素材堆多个主标签
可复用公式：主叙事任务=项目管理 AND 主要证据也指向项目管理
适用条件：以时长占比和核心结果判定
示例结构：一级标签=项目管理</x:v>
      </x:c>
      <x:c r="N6" s="39" t="str">
        <x:v>【数据分析】
拆解逻辑：用“数据分析”描述具体内容形态/业务环境
底层机制：二级标签提高检索精度，不重复一级标签
可复用公式：若画面/口播存在可见的数据分析场景证据→数据分析
适用条件：证据不足留空；最多1个主二级标签
示例结构：二级标签=数据分析</x:v>
      </x:c>
      <x:c r="O6" s="39" t="str">
        <x:v>【单点黑科技—新奇演示】
拆解逻辑：这个[设备/Agent]居然能自己[人类动作]。
底层机制：用自我相关性＋信息缺口/损失规避/结果承诺阻止划走
可复用公式：[人群点名/反问/结果/冲突]＋[具体对象]＋[未解释差异]
适用条件：3秒内≤2个信息点；画面能立刻支撑口播
示例结构：这个[设备/Agent]居然能自己[人类动作]。</x:v>
      </x:c>
      <x:c r="P6" s="39" t="str">
        <x:v>【派生版本】
拆解逻辑：母版CID不替代子版本CID
底层机制：每个投放单元独立归因
可复用公式：母版=[master_cid]；当前=[variant_cid]
适用条件：同素材改钩子/CTA
示例结构：母版7646...；当前7650...</x:v>
      </x:c>
      <x:c r="Q6" s="39" t="str">
        <x:v>【Excel任务】
拆解逻辑：按画面中实际发生的任务判为“Excel任务”
底层机制：场景标签只描述被演示的事实，不被结尾口号带偏
可复用公式：可见任务动作/界面=Excel任务→场景一级标签=Excel任务
适用条件：至少一处时间码证据
示例结构：00:12展示Excel任务相关操作</x:v>
      </x:c>
      <x:c r="R6" s="39" t="str">
        <x:v>【多元场景】
拆解逻辑：用“多元场景”细分画面中的业务环境
底层机制：同一功能在不同场景的转化动机不同
可复用公式：场景一级标签已确定 AND 可见业务对象=多元场景
适用条件：场景明确且影响脚本理解
示例结构：场景二级标签=多元场景</x:v>
      </x:c>
      <x:c r="S6" s="39" t="str">
        <x:v>【单点黑科技—新奇演示】
拆解逻辑：云端安装应用→设定动作→后台执行→截图/日志回传；区分‘可自动’与‘需人工确认’。
底层机制：功能必须写成可演示动作而非营销形容词
可复用公式：[输入对象]→[系统动作]→[中间状态]→[输出物]→[限制/人工节点]
适用条件：每个功能点都能对应一个UI/动作镜头
示例结构：云端安装应用→设定动作→后台执行→截图/日志回传；区分‘可自动’与‘需人工确认’。</x:v>
      </x:c>
      <x:c r="T6" s="40" t="str">
        <x:v>【单点黑科技—新奇演示】
拆解逻辑：展示设备状态、任务开始/完成时间与操作日志；安全/兼容范围若未出现，标为待核验。
底层机制：时间码事实让结论可审计，防止AI把推断写成产品能力
可复用公式：[时间码]＋[可见画面/可听原话]＋[支持的结论]＋[不确定性]
适用条件：事实/推断/待核验分开；不为新脚本伪造证据
示例结构：展示设备状态、任务开始/完成时间与操作日志；安全/兼容范围若未出现，标为待核验。</x:v>
      </x:c>
    </x:row>
    <x:row r="7" ht="220" customHeight="1">
      <x:c r="A7" s="38" t="str">
        <x:v>【失效链接】
拆解逻辑：保留原链接并标记状态，不静默替换
底层机制：链接健康度影响人工复核
可复用公式：[原URL]｜状态=[有效/需权限/失效]｜核验日=[日期]
适用条件：长期知识库
示例结构：...｜需权限｜2026-08-24</x:v>
      </x:c>
      <x:c r="B7" s="39" t="str">
        <x:v>【商品】
拆解逻辑：常规付费高次留低：数字能促付费；增加持续使用频次、复用案例和数据口径，改善留存预期。
底层机制：用来源形态＋付费转化相对基准＋次日留存相对基准进行互斥分类
可复用公式：主目标=商品/会员直接成交 AND 明确价格/商品卡
适用条件：先固定归因窗口、样本量和基准；数据不足标‘待观察’
示例结构：常规付费高次留低：数字能促付费；增加持续使用频次、复用案例和数据口径，改善留存预期。</x:v>
      </x:c>
      <x:c r="C7" s="39" t="str">
        <x:v>【结尾不定类】
拆解逻辑：促销CTA不把素材自动判为利益感受类
底层机制：转化段与主体叙事需分开
可复用公式：剔除CTA段后计算主叙事占比
适用条件：直播促销素材
示例结构：前40秒功能、后10秒优惠→品宣功能类</x:v>
      </x:c>
      <x:c r="D7" s="39" t="str">
        <x:v>【量化省时—ROI证明】
拆解逻辑：量化承诺 → 口径说明 → 流程实录 → 正确性核对 → 月度ROI → CTA
底层机制：用单一主张制造记忆点并由证据闭环
可复用公式：[人群/痛点]＋[差异化能力]＋[可见证据]＋[具体结果]；只保留一个主亮点
适用条件：亮点必须能在15字内复述且有画面证据
示例结构：量化承诺 → 口径说明 → 流程实录 → 正确性核对 → 月度ROI → CTA</x:v>
      </x:c>
      <x:c r="E7" s="39" t="str">
        <x:v>【量化省时—ROI证明】
拆解逻辑：同屏计时器＋步骤计数＋结果清单；关键数字使用统一大字和进度条。
底层机制：视觉同时承担模式打断、信息压缩与可信证明
可复用公式：[0-1秒模式打断]→[1-3秒关键信息]→[3秒后证据画面]
适用条件：首帧无声也能理解，且与口播同一主张
示例结构：同屏计时器＋步骤计数＋结果清单；关键数字使用统一大字和进度条。</x:v>
      </x:c>
      <x:c r="F7" s="39" t="str">
        <x:v>【量化省时—ROI证明】
拆解逻辑：[按交付量/时间计价的角色]＋[任务高频]，例：每周汇总多张表的数据分析/运营人员。
底层机制：角色决定熟悉语言，任务阶段决定痛点强度，意图决定CTA
可复用公式：[职业/身份]＋[当前阶段]＋[高频任务]＋[主要阻碍]＋[行动意图]
适用条件：可从同一句话筛掉非目标人群
示例结构：[按交付量/时间计价的角色]＋[任务高频]，例：每周汇总多张表的数据分析/运营人员。</x:v>
      </x:c>
      <x:c r="G7" s="39" t="str">
        <x:v>【量化省时—ROI证明】
拆解逻辑：数字口径是否真实；复杂数据是否准确；节省的时间能否稳定复现；是否需要清洗数据。
底层机制：用户购买的是风险下降与结果确定性
可复用公式：能否[完成任务]？质量[标准]？成本/耗时[阈值]？是否[可靠/安全]？边界[什么]？
适用条件：至少覆盖结果、成本、可信度中的两项
示例结构：数字口径是否真实；复杂数据是否准确；节省的时间能否稳定复现；是否需要清洗数据。</x:v>
      </x:c>
      <x:c r="H7" s="39" t="str">
        <x:v>【量化省时—ROI证明】
拆解逻辑：把月度节省价值与价格比较：[频次]×[每次节省]×[人力单价]，再给[版本/试用]入口。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示例结构：把月度节省价值与价格比较：[频次]×[每次节省]×[人力单价]，再给[版本/试用]入口。</x:v>
      </x:c>
      <x:c r="I7" s="39" t="str">
        <x:v>【量化省时—ROI证明】
拆解逻辑：用户处理[重复报表/数据整理]，对比步骤、耗时、错误率与交付速度。
底层机制：场景把功能翻译成用户可想象的使用时刻
可复用公式：[谁]在[何时/何地/触发]为了[目标]，用[功能链]完成[结果]
适用条件：必须包含人物、触发、任务、结果四要素
示例结构：用户处理[重复报表/数据整理]，对比步骤、耗时、错误率与交付速度。</x:v>
      </x:c>
      <x:c r="J7" s="39" t="str">
        <x:v>【量化省时—ROI证明】
拆解逻辑：00:00-00:03 报真实数字；00:03-00:08 说明测试条件；00:08-00:25 完整执行；00:25-00:33 展示结果核对；00:33-00:40 算月度ROI；00:40-00:45 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报真实数字；00:03-00:08 说明测试条件；00:08-00:25 完整执行；00:25-00:33 展示结果核对；00:33-00:40 算月度ROI；00:40-00:45 CTA。</x:v>
      </x:c>
      <x:c r="K7" s="39" t="str">
        <x:v>【量化省时—ROI证明】
拆解逻辑：量化承诺 → 口径说明 → 流程实录 → 正确性核对 → 月度ROI → CTA
底层机制：每一段只解决一个心理障碍：注意→相关→相信→想要→行动
可复用公式：量化承诺 → 口径说明 → 流程实录 → 正确性核对 → 月度ROI → CTA
适用条件：删除任一环节后仍应保持因果连续；CTA不得突然出现
示例结构：量化承诺 → 口径说明 → 流程实录 → 正确性核对 → 月度ROI → CTA</x:v>
      </x:c>
      <x:c r="L7" s="39" t="str">
        <x:v>【量化省时—ROI证明】
拆解逻辑：手工汇总、公式出错、格式不统一、反复核对、交付超时、人力成本高。
底层机制：动作词可拍、后果词可量化、情绪词可共鸣
可复用公式：[具体低效动作]＋[直接损失]＋[主观感受]；用顿号分隔6-10个词
适用条件：禁止只有‘效率低/体验差’等泛词
示例结构：手工汇总、公式出错、格式不统一、反复核对、交付超时、人力成本高。</x:v>
      </x:c>
      <x:c r="M7" s="39" t="str">
        <x:v>【云设备】
拆解逻辑：当主要任务对象是“云设备”时选此标签
底层机制：一级标签负责大类互斥，避免一个素材堆多个主标签
可复用公式：主叙事任务=云设备 AND 主要证据也指向云设备
适用条件：以时长占比和核心结果判定
示例结构：一级标签=云设备</x:v>
      </x:c>
      <x:c r="N7" s="39" t="str">
        <x:v>【网页】
拆解逻辑：用“网页”描述具体内容形态/业务环境
底层机制：二级标签提高检索精度，不重复一级标签
可复用公式：若画面/口播存在可见的网页场景证据→网页
适用条件：证据不足留空；最多1个主二级标签
示例结构：二级标签=网页</x:v>
      </x:c>
      <x:c r="O7" s="39" t="str">
        <x:v>【量化省时—ROI证明】
拆解逻辑：[旧流程耗时]的[任务]，现在[新耗时]完成；我把过程全录下来了。
底层机制：用自我相关性＋信息缺口/损失规避/结果承诺阻止划走
可复用公式：[人群点名/反问/结果/冲突]＋[具体对象]＋[未解释差异]
适用条件：3秒内≤2个信息点；画面能立刻支撑口播
示例结构：[旧流程耗时]的[任务]，现在[新耗时]完成；我把过程全录下来了。</x:v>
      </x:c>
      <x:c r="P7" s="39" t="str">
        <x:v>【格式校验】
拆解逻辑：按平台规则验证字符集和长度
底层机制：提早发现粘贴错误
可复用公式：REGEX([cid],[平台CID规则])
适用条件：批量导入
示例结构：非数字字符→待核验</x:v>
      </x:c>
      <x:c r="Q7" s="39" t="str">
        <x:v>【云设备】
拆解逻辑：按画面中实际发生的任务判为“云设备”
底层机制：场景标签只描述被演示的事实，不被结尾口号带偏
可复用公式：可见任务动作/界面=云设备→场景一级标签=云设备
适用条件：至少一处时间码证据
示例结构：00:12展示云设备相关操作</x:v>
      </x:c>
      <x:c r="R7" s="39" t="str">
        <x:v>【数据分析】
拆解逻辑：用“数据分析”细分画面中的业务环境
底层机制：同一功能在不同场景的转化动机不同
可复用公式：场景一级标签已确定 AND 可见业务对象=数据分析
适用条件：场景明确且影响脚本理解
示例结构：场景二级标签=数据分析</x:v>
      </x:c>
      <x:c r="S7" s="39" t="str">
        <x:v>【量化省时—ROI证明】
拆解逻辑：导入多表→识别字段→清洗/合并→生成公式/图表→抽样核验；明确数据规模与口径。
底层机制：功能必须写成可演示动作而非营销形容词
可复用公式：[输入对象]→[系统动作]→[中间状态]→[输出物]→[限制/人工节点]
适用条件：每个功能点都能对应一个UI/动作镜头
示例结构：导入多表→识别字段→清洗/合并→生成公式/图表→抽样核验；明确数据规模与口径。</x:v>
      </x:c>
      <x:c r="T7" s="40" t="str">
        <x:v>【量化省时—ROI证明】
拆解逻辑：记录样本行数、文件数、起止时间、抽样核对结果；数字必须来自同一测试条件。
底层机制：时间码事实让结论可审计，防止AI把推断写成产品能力
可复用公式：[时间码]＋[可见画面/可听原话]＋[支持的结论]＋[不确定性]
适用条件：事实/推断/待核验分开；不为新脚本伪造证据
示例结构：记录样本行数、文件数、起止时间、抽样核对结果；数字必须来自同一测试条件。</x:v>
      </x:c>
    </x:row>
    <x:row r="8" ht="220" customHeight="1">
      <x:c r="A8" s="38" t="str">
        <x:v>【权限标记】
拆解逻辑：保留访问权限状态
底层机制：复核者需要知道打不开的原因
可复用公式：[URL]｜权限=[公开/组织内/指定成员]
适用条件：内部素材库
示例结构：...｜权限=组织内</x:v>
      </x:c>
      <x:c r="B8" s="39" t="str">
        <x:v>【同渠道基准】
拆解逻辑：付费和次留只与相同渠道/目标比较
底层机制：不同流量结构不可直接横比
可复用公式：基准=MEDIAN([同渠道＋同目标＋同周期素材])
适用条件：常规素材分类
示例结构：与常规下载目标中位数比较</x:v>
      </x:c>
      <x:c r="C8" s="39" t="str">
        <x:v>【一句话复述】
拆解逻辑：用观众看完后最可能复述的内容判类
底层机制：记忆中心反映核心叙事
可复用公式：复述=问题→痛点；复述=能力→品宣；复述=状态→利益
适用条件：边界案例
示例结构：‘它能自动发报表’→品宣</x:v>
      </x:c>
      <x:c r="D8" s="39" t="str">
        <x:v>【多角色协作—成果接力】
拆解逻辑：协作悬念 → 建立共同上下文 → 角色分工 → 并行执行 → 成果接力 → 团队CTA
底层机制：用单一主张制造记忆点并由证据闭环
可复用公式：[人群/痛点]＋[差异化能力]＋[可见证据]＋[具体结果]；只保留一个主亮点
适用条件：亮点必须能在15字内复述且有画面证据
示例结构：协作悬念 → 建立共同上下文 → 角色分工 → 并行执行 → 成果接力 → 团队CTA</x:v>
      </x:c>
      <x:c r="E8" s="39" t="str">
        <x:v>【多角色协作—成果接力】
拆解逻辑：角色头像依次亮起；任务卡沿流程移动；数据、文案、海报、PPT接力回传。
底层机制：视觉同时承担模式打断、信息压缩与可信证明
可复用公式：[0-1秒模式打断]→[1-3秒关键信息]→[3秒后证据画面]
适用条件：首帧无声也能理解，且与口播同一主张
示例结构：角色头像依次亮起；任务卡沿流程移动；数据、文案、海报、PPT接力回传。</x:v>
      </x:c>
      <x:c r="F8" s="39" t="str">
        <x:v>【多角色协作—成果接力】
拆解逻辑：[跨职能团队负责人]＋[项目复杂]＋[信息断层]，例：筹备发布会的市场项目经理。
底层机制：角色决定熟悉语言，任务阶段决定痛点强度，意图决定CTA
可复用公式：[职业/身份]＋[当前阶段]＋[高频任务]＋[主要阻碍]＋[行动意图]
适用条件：可从同一句话筛掉非目标人群
示例结构：[跨职能团队负责人]＋[项目复杂]＋[信息断层]，例：筹备发布会的市场项目经理。</x:v>
      </x:c>
      <x:c r="G8" s="39" t="str">
        <x:v>【多角色协作—成果接力】
拆解逻辑：上下文是否共享；权限是否可控；成果能否接力；责任归属与版本是否清晰。
底层机制：用户购买的是风险下降与结果确定性
可复用公式：能否[完成任务]？质量[标准]？成本/耗时[阈值]？是否[可靠/安全]？边界[什么]？
适用条件：至少覆盖结果、成本、可信度中的两项
示例结构：上下文是否共享；权限是否可控；成果能否接力；责任归属与版本是否清晰。</x:v>
      </x:c>
      <x:c r="H8" s="39" t="str">
        <x:v>【多角色协作—成果接力】
拆解逻辑：邀请团队复制一个项目：创建[项目]、加入[角色]、领取[协作模板/试用权益]。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示例结构：邀请团队复制一个项目：创建[项目]、加入[角色]、领取[协作模板/试用权益]。</x:v>
      </x:c>
      <x:c r="I8" s="39" t="str">
        <x:v>【多角色协作—成果接力】
拆解逻辑：[共同目标]被拆成不同职能任务，各角色在同一上下文并行并汇总交付。
底层机制：场景把功能翻译成用户可想象的使用时刻
可复用公式：[谁]在[何时/何地/触发]为了[目标]，用[功能链]完成[结果]
适用条件：必须包含人物、触发、任务、结果四要素
示例结构：[共同目标]被拆成不同职能任务，各角色在同一上下文并行并汇总交付。</x:v>
      </x:c>
      <x:c r="J8" s="39" t="str">
        <x:v>【多角色协作—成果接力】
拆解逻辑：00:00-00:03 抛出多人同时开工；00:03-00:10 建项目/加成员；00:10-00:28 @分工与接力回传；00:28-00:36 打开成果包；00:36-00:45 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抛出多人同时开工；00:03-00:10 建项目/加成员；00:10-00:28 @分工与接力回传；00:28-00:36 打开成果包；00:36-00:45 CTA。</x:v>
      </x:c>
      <x:c r="K8" s="39" t="str">
        <x:v>【多角色协作—成果接力】
拆解逻辑：协作悬念 → 建立共同上下文 → 角色分工 → 并行执行 → 成果接力 → 团队CTA
底层机制：每一段只解决一个心理障碍：注意→相关→相信→想要→行动
可复用公式：协作悬念 → 建立共同上下文 → 角色分工 → 并行执行 → 成果接力 → 团队CTA
适用条件：删除任一环节后仍应保持因果连续；CTA不得突然出现
示例结构：协作悬念 → 建立共同上下文 → 角色分工 → 并行执行 → 成果接力 → 团队CTA</x:v>
      </x:c>
      <x:c r="L8" s="39" t="str">
        <x:v>【多角色协作—成果接力】
拆解逻辑：沟通不同频、职责不清、资料散落、重复同步、跨角色断层、版本混乱。
底层机制：动作词可拍、后果词可量化、情绪词可共鸣
可复用公式：[具体低效动作]＋[直接损失]＋[主观感受]；用顿号分隔6-10个词
适用条件：禁止只有‘效率低/体验差’等泛词
示例结构：沟通不同频、职责不清、资料散落、重复同步、跨角色断层、版本混乱。</x:v>
      </x:c>
      <x:c r="M8" s="39" t="str">
        <x:v>【主agent-拟人心智】
拆解逻辑：当主要任务对象是“主agent-拟人心智”时选此标签
底层机制：一级标签负责大类互斥，避免一个素材堆多个主标签
可复用公式：主叙事任务=主agent-拟人心智 AND 主要证据也指向主agent-拟人心智
适用条件：以时长占比和核心结果判定
示例结构：一级标签=主agent-拟人心智</x:v>
      </x:c>
      <x:c r="N8" s="39" t="str">
        <x:v>【职场办公场景】
拆解逻辑：用“职场办公场景”描述具体内容形态/业务环境
底层机制：二级标签提高检索精度，不重复一级标签
可复用公式：若画面/口播存在可见的职场办公场景场景证据→职场办公场景
适用条件：证据不足留空；最多1个主二级标签
示例结构：二级标签=职场办公场景</x:v>
      </x:c>
      <x:c r="O8" s="39" t="str">
        <x:v>【多角色协作—成果接力】
拆解逻辑：一个项目里，[角色A]、[角色B]、[Agent C]同时开工，会发生什么？
底层机制：用自我相关性＋信息缺口/损失规避/结果承诺阻止划走
可复用公式：[人群点名/反问/结果/冲突]＋[具体对象]＋[未解释差异]
适用条件：3秒内≤2个信息点；画面能立刻支撑口播
示例结构：一个项目里，[角色A]、[角色B]、[Agent C]同时开工，会发生什么？</x:v>
      </x:c>
      <x:c r="P8" s="39" t="str">
        <x:v>【前导零保护】
拆解逻辑：将CID作为文本保存
底层机制：电子表格可能丢前导零或转科学计数
可复用公式：number_format='@'；value=[原始字符串]
适用条件：长数字ID
示例结构：'076462...</x:v>
      </x:c>
      <x:c r="Q8" s="39" t="str">
        <x:v>【综合功能】
拆解逻辑：按画面中实际发生的任务判为“综合功能”
底层机制：场景标签只描述被演示的事实，不被结尾口号带偏
可复用公式：可见任务动作/界面=综合功能→场景一级标签=综合功能
适用条件：至少一处时间码证据
示例结构：00:12展示综合功能相关操作</x:v>
      </x:c>
      <x:c r="R8" s="39" t="str">
        <x:v>【职场办公场景】
拆解逻辑：用“职场办公场景”细分画面中的业务环境
底层机制：同一功能在不同场景的转化动机不同
可复用公式：场景一级标签已确定 AND 可见业务对象=职场办公场景
适用条件：场景明确且影响脚本理解
示例结构：场景二级标签=职场办公场景</x:v>
      </x:c>
      <x:c r="S8" s="39" t="str">
        <x:v>【多角色协作—成果接力】
拆解逻辑：共享上下文→角色权限→@分派→并行回传→统一汇总→版本留痕。
底层机制：功能必须写成可演示动作而非营销形容词
可复用公式：[输入对象]→[系统动作]→[中间状态]→[输出物]→[限制/人工节点]
适用条件：每个功能点都能对应一个UI/动作镜头
示例结构：共享上下文→角色权限→@分派→并行回传→统一汇总→版本留痕。</x:v>
      </x:c>
      <x:c r="T8" s="40" t="str">
        <x:v>【多角色协作—成果接力】
拆解逻辑：时间码覆盖成员列表、@指令、每个角色回执与最终文件；不得用单Agent演示推断多人协作。
底层机制：时间码事实让结论可审计，防止AI把推断写成产品能力
可复用公式：[时间码]＋[可见画面/可听原话]＋[支持的结论]＋[不确定性]
适用条件：事实/推断/待核验分开；不为新脚本伪造证据
示例结构：时间码覆盖成员列表、@指令、每个角色回执与最终文件；不得用单Agent演示推断多人协作。</x:v>
      </x:c>
    </x:row>
    <x:row r="9" ht="220" customHeight="1">
      <x:c r="A9" s="38" t="str">
        <x:v>【短链展开】
拆解逻辑：入库前展开短链接
底层机制：短链会过期且无法看出平台/主ID
可复用公式：expand([短链])→[最终落地URL]
适用条件：分享链接
示例结构：s.example/abc→platform/video/123</x:v>
      </x:c>
      <x:c r="B9" s="39" t="str">
        <x:v>【固定窗口】
拆解逻辑：先定义点击/付费/次留归因窗口
底层机制：窗口变化会让同一素材跨类
可复用公式：分类窗口=[投放起止]；付费=[X日]；次留=[D1定义]
适用条件：所有数据分类
示例结构：付费7日；次留次日活跃</x:v>
      </x:c>
      <x:c r="C9" s="39" t="str">
        <x:v>【证据权重】
拆解逻辑：真实UI/动作证据出现时提高功能类权重
底层机制：强证据会改变观众的核心理解
可复用公式：功能得分=[演示秒数]×[连续性系数]
适用条件：录屏素材
示例结构：连续闭环演示权重高于口播提及</x:v>
      </x:c>
      <x:c r="D9" s="39" t="str">
        <x:v>【一人团队—降本增产】
拆解逻辑：资源缺口 → 一人团队定位 → 多角色并行 → 业务结果 → 人力成本锚定 → 商品CTA
底层机制：用单一主张制造记忆点并由证据闭环
可复用公式：[人群/痛点]＋[差异化能力]＋[可见证据]＋[具体结果]；只保留一个主亮点
适用条件：亮点必须能在15字内复述且有画面证据
示例结构：资源缺口 → 一人团队定位 → 多角色并行 → 业务结果 → 人力成本锚定 → 商品CTA</x:v>
      </x:c>
      <x:c r="E9" s="39" t="str">
        <x:v>【一人团队—降本增产】
拆解逻辑：真人居中，周围环绕编导/设计/运营/数据Agent卡片；成果数量持续累加。
底层机制：视觉同时承担模式打断、信息压缩与可信证明
可复用公式：[0-1秒模式打断]→[1-3秒关键信息]→[3秒后证据画面]
适用条件：首帧无声也能理解，且与口播同一主张
示例结构：真人居中，周围环绕编导/设计/运营/数据Agent卡片；成果数量持续累加。</x:v>
      </x:c>
      <x:c r="F9" s="39" t="str">
        <x:v>【一人团队—降本增产】
拆解逻辑：[个体创业者/小微老板]＋[多业务并行]＋[预算有限]，例：同时做内容和电商的一人公司。
底层机制：角色决定熟悉语言，任务阶段决定痛点强度，意图决定CTA
可复用公式：[职业/身份]＋[当前阶段]＋[高频任务]＋[主要阻碍]＋[行动意图]
适用条件：可从同一句话筛掉非目标人群
示例结构：[个体创业者/小微老板]＋[多业务并行]＋[预算有限]，例：同时做内容和电商的一人公司。</x:v>
      </x:c>
      <x:c r="G9" s="39" t="str">
        <x:v>【一人团队—降本增产】
拆解逻辑：能否覆盖不同职能；多项目会不会串信息；产出能否直接用于经营；实际成本。
底层机制：用户购买的是风险下降与结果确定性
可复用公式：能否[完成任务]？质量[标准]？成本/耗时[阈值]？是否[可靠/安全]？边界[什么]？
适用条件：至少覆盖结果、成本、可信度中的两项
示例结构：能否覆盖不同职能；多项目会不会串信息；产出能否直接用于经营；实际成本。</x:v>
      </x:c>
      <x:c r="H9" s="39" t="str">
        <x:v>【一人团队—降本增产】
拆解逻辑：权益堆叠但保持一个主行动：开通[版本]，获得[核心权益]＋[赠品]；点击[唯一入口]。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示例结构：权益堆叠但保持一个主行动：开通[版本]，获得[核心权益]＋[赠品]；点击[唯一入口]。</x:v>
      </x:c>
      <x:c r="I9" s="39" t="str">
        <x:v>【一人团队—降本增产】
拆解逻辑：一人同时经营[业务A/B]，不同Agent负责内容、设计、发布、库存和复盘。
底层机制：场景把功能翻译成用户可想象的使用时刻
可复用公式：[谁]在[何时/何地/触发]为了[目标]，用[功能链]完成[结果]
适用条件：必须包含人物、触发、任务、结果四要素
示例结构：一人同时经营[业务A/B]，不同Agent负责内容、设计、发布、库存和复盘。</x:v>
      </x:c>
      <x:c r="J9" s="39" t="str">
        <x:v>【一人团队—降本增产】
拆解逻辑：00:00-00:03 ‘我没有团队’；00:03-00:08 展示任务爆炸；00:08-00:28 创建多个角色并并行交付；00:28-00:36 算人力成本差；00:36-00:50 权益＋CTA。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‘我没有团队’；00:03-00:08 展示任务爆炸；00:08-00:28 创建多个角色并并行交付；00:28-00:36 算人力成本差；00:36-00:50 权益＋CTA。</x:v>
      </x:c>
      <x:c r="K9" s="39" t="str">
        <x:v>【一人团队—降本增产】
拆解逻辑：资源缺口 → 一人团队定位 → 多角色并行 → 业务结果 → 人力成本锚定 → 商品CTA
底层机制：每一段只解决一个心理障碍：注意→相关→相信→想要→行动
可复用公式：资源缺口 → 一人团队定位 → 多角色并行 → 业务结果 → 人力成本锚定 → 商品CTA
适用条件：删除任一环节后仍应保持因果连续；CTA不得突然出现
示例结构：资源缺口 → 一人团队定位 → 多角色并行 → 业务结果 → 人力成本锚定 → 商品CTA</x:v>
      </x:c>
      <x:c r="L9" s="39" t="str">
        <x:v>【一人团队—降本增产】
拆解逻辑：缺人、预算少、身兼多职、顾此失彼、招人慢、外包贵、项目串线。
底层机制：动作词可拍、后果词可量化、情绪词可共鸣
可复用公式：[具体低效动作]＋[直接损失]＋[主观感受]；用顿号分隔6-10个词
适用条件：禁止只有‘效率低/体验差’等泛词
示例结构：缺人、预算少、身兼多职、顾此失彼、招人慢、外包贵、项目串线。</x:v>
      </x:c>
      <x:c r="M9" s="39" t="str">
        <x:v>【PPT任务】
拆解逻辑：当主要任务对象是“PPT任务”时选此标签
底层机制：一级标签负责大类互斥，避免一个素材堆多个主标签
可复用公式：主叙事任务=PPT任务 AND 主要证据也指向PPT任务
适用条件：以时长占比和核心结果判定
示例结构：一级标签=PPT任务</x:v>
      </x:c>
      <x:c r="N9" s="39" t="str">
        <x:v>【求职升职】
拆解逻辑：用“求职升职”描述具体内容形态/业务环境
底层机制：二级标签提高检索精度，不重复一级标签
可复用公式：若画面/口播存在可见的求职升职场景证据→求职升职
适用条件：证据不足留空；最多1个主二级标签
示例结构：二级标签=求职升职</x:v>
      </x:c>
      <x:c r="O9" s="39" t="str">
        <x:v>【一人团队—降本增产】
拆解逻辑：没有团队，也能同时把[业务A]和[业务B]跑起来。
底层机制：用自我相关性＋信息缺口/损失规避/结果承诺阻止划走
可复用公式：[人群点名/反问/结果/冲突]＋[具体对象]＋[未解释差异]
适用条件：3秒内≤2个信息点；画面能立刻支撑口播
示例结构：没有团队，也能同时把[业务A]和[业务B]跑起来。</x:v>
      </x:c>
      <x:c r="P9" s="39" t="str">
        <x:v>【唯一性】
拆解逻辑：同平台同账户CID不得重复指向不同素材
底层机制：CID是投放单元主键
可复用公式：COUNTIFS([平台],[当前平台],[账户],[当前账户],[cid],[当前cid])=1
适用条件：入库质检
示例结构：重复2次→检查误贴</x:v>
      </x:c>
      <x:c r="Q9" s="39" t="str">
        <x:v>【技能商店】
拆解逻辑：按画面中实际发生的任务判为“技能商店”
底层机制：场景标签只描述被演示的事实，不被结尾口号带偏
可复用公式：可见任务动作/界面=技能商店→场景一级标签=技能商店
适用条件：至少一处时间码证据
示例结构：00:12展示技能商店相关操作</x:v>
      </x:c>
      <x:c r="R9" s="39" t="str">
        <x:v>【宣传片】
拆解逻辑：用“宣传片”细分画面中的业务环境
底层机制：同一功能在不同场景的转化动机不同
可复用公式：场景一级标签已确定 AND 可见业务对象=宣传片
适用条件：场景明确且影响脚本理解
示例结构：场景二级标签=宣传片</x:v>
      </x:c>
      <x:c r="S9" s="39" t="str">
        <x:v>【一人团队—降本增产】
拆解逻辑：按业务建立独立项目；编导/设计/运营/数据Agent分工；文件隔离；结果汇总。
底层机制：功能必须写成可演示动作而非营销形容词
可复用公式：[输入对象]→[系统动作]→[中间状态]→[输出物]→[限制/人工节点]
适用条件：每个功能点都能对应一个UI/动作镜头
示例结构：按业务建立独立项目；编导/设计/运营/数据Agent分工；文件隔离；结果汇总。</x:v>
      </x:c>
      <x:c r="T9" s="40" t="str">
        <x:v>【一人团队—降本增产】
拆解逻辑：记录两个项目名称、各Agent任务和成果；降本数字需注明比较口径，不把虚拟角色等同全职员工。
底层机制：时间码事实让结论可审计，防止AI把推断写成产品能力
可复用公式：[时间码]＋[可见画面/可听原话]＋[支持的结论]＋[不确定性]
适用条件：事实/推断/待核验分开；不为新脚本伪造证据
示例结构：记录两个项目名称、各Agent任务和成果；降本数字需注明比较口径，不把虚拟角色等同全职员工。</x:v>
      </x:c>
    </x:row>
    <x:row r="10" ht="220" customHeight="1">
      <x:c r="A10" s="38" t="str">
        <x:v>【内容快照】
拆解逻辑：为易失效页面保留截图/文件快照地址
底层机制：链接可访问不等于内容永远不变
可复用公式：[原URL]｜快照=[存储地址]｜日期=[YYYY-MM-DD]
适用条件：长期复盘
示例结构：...｜snapshot/123.mp4｜2026-08-24</x:v>
      </x:c>
      <x:c r="B10" s="39" t="str">
        <x:v>【最小样本】
拆解逻辑：未达最低曝光/转化不进入四象限
底层机制：小样本波动会制造假高/假低
可复用公式：IF([曝光≥阈值] AND [转化≥阈值],分类,待观察)
适用条件：新上线素材
示例结构：曝光不足→待观察</x:v>
      </x:c>
      <x:c r="C10" s="39" t="str">
        <x:v>【人物权重】
拆解逻辑：具体人物冲突贯穿全片时提高痛点场景权重
底层机制：人物因果链是场景类的核心
可复用公式：痛点得分=[人物冲突秒数]×[后果具体度]
适用条件：剧情/口播素材
示例结构：客户催稿贯穿→痛点场景类</x:v>
      </x:c>
      <x:c r="D10" s="39" t="str">
        <x:v>【高频自动化—持续运行】
拆解逻辑：周期痛点 → 一句设定 → 定时执行 → 连续结果 → 复盘/异常闭环 → 直播CTA
底层机制：用单一主张制造记忆点并由证据闭环
可复用公式：[人群/痛点]＋[差异化能力]＋[可见证据]＋[具体结果]；只保留一个主亮点
适用条件：亮点必须能在15字内复述且有画面证据
示例结构：周期痛点 → 一句设定 → 定时执行 → 连续结果 → 复盘/异常闭环 → 直播CTA</x:v>
      </x:c>
      <x:c r="E10" s="39" t="str">
        <x:v>【高频自动化—持续运行】
拆解逻辑：闹钟密集弹出→任务日历→云端执行→完成通知；用连续日期证明不是一次性。
底层机制：视觉同时承担模式打断、信息压缩与可信证明
可复用公式：[0-1秒模式打断]→[1-3秒关键信息]→[3秒后证据画面]
适用条件：首帧无声也能理解，且与口播同一主张
示例结构：闹钟密集弹出→任务日历→云端执行→完成通知；用连续日期证明不是一次性。</x:v>
      </x:c>
      <x:c r="F10" s="39" t="str">
        <x:v>【高频自动化—持续运行】
拆解逻辑：[需要固定频次运营的角色]＋[易漏节点]，例：每天追热点并定时发布的账号运营。
底层机制：角色决定熟悉语言，任务阶段决定痛点强度，意图决定CTA
可复用公式：[职业/身份]＋[当前阶段]＋[高频任务]＋[主要阻碍]＋[行动意图]
适用条件：可从同一句话筛掉非目标人群
示例结构：[需要固定频次运营的角色]＋[易漏节点]，例：每天追热点并定时发布的账号运营。</x:v>
      </x:c>
      <x:c r="G10" s="39" t="str">
        <x:v>【高频自动化—持续运行】
拆解逻辑：能否24小时运行；失败是否通知；内容是否重复；能否自动复盘并迭代。
底层机制：用户购买的是风险下降与结果确定性
可复用公式：能否[完成任务]？质量[标准]？成本/耗时[阈值]？是否[可靠/安全]？边界[什么]？
适用条件：至少覆盖结果、成本、可信度中的两项
示例结构：能否24小时运行；失败是否通知；内容是否重复；能否自动复盘并迭代。</x:v>
      </x:c>
      <x:c r="H10" s="39" t="str">
        <x:v>【高频自动化—持续运行】
拆解逻辑：直播间促单：先说明自动化能解决什么，再给[折扣/积分/赠课]，用‘点头像’单一动作收口。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示例结构：直播间促单：先说明自动化能解决什么，再给[折扣/积分/赠课]，用‘点头像’单一动作收口。</x:v>
      </x:c>
      <x:c r="I10" s="39" t="str">
        <x:v>【高频自动化—持续运行】
拆解逻辑：用户设置周期任务，系统按时抓取/生成/发布/复盘，并在异常时提醒。
底层机制：场景把功能翻译成用户可想象的使用时刻
可复用公式：[谁]在[何时/何地/触发]为了[目标]，用[功能链]完成[结果]
适用条件：必须包含人物、触发、任务、结果四要素
示例结构：用户设置周期任务，系统按时抓取/生成/发布/复盘，并在异常时提醒。</x:v>
      </x:c>
      <x:c r="J10" s="39" t="str">
        <x:v>【高频自动化—持续运行】
拆解逻辑：00:00-00:03 闹钟＋痛点反问；00:03-00:10 一句设定周期任务；00:10-00:28 展示多日执行/发布/复盘；00:28-00:36 失败提醒；00:36-00:50 直播权益CTA。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闹钟＋痛点反问；00:03-00:10 一句设定周期任务；00:10-00:28 展示多日执行/发布/复盘；00:28-00:36 失败提醒；00:36-00:50 直播权益CTA。</x:v>
      </x:c>
      <x:c r="K10" s="39" t="str">
        <x:v>【高频自动化—持续运行】
拆解逻辑：周期痛点 → 一句设定 → 定时执行 → 连续结果 → 复盘/异常闭环 → 直播CTA
底层机制：每一段只解决一个心理障碍：注意→相关→相信→想要→行动
可复用公式：周期痛点 → 一句设定 → 定时执行 → 连续结果 → 复盘/异常闭环 → 直播CTA
适用条件：删除任一环节后仍应保持因果连续；CTA不得突然出现
示例结构：周期痛点 → 一句设定 → 定时执行 → 连续结果 → 复盘/异常闭环 → 直播CTA</x:v>
      </x:c>
      <x:c r="L10" s="39" t="str">
        <x:v>【高频自动化—持续运行】
拆解逻辑：定闹钟、重复发布、追热点慢、内容撞车、漏发、熬夜值守、复盘耗时。
底层机制：动作词可拍、后果词可量化、情绪词可共鸣
可复用公式：[具体低效动作]＋[直接损失]＋[主观感受]；用顿号分隔6-10个词
适用条件：禁止只有‘效率低/体验差’等泛词
示例结构：定闹钟、重复发布、追热点慢、内容撞车、漏发、熬夜值守、复盘耗时。</x:v>
      </x:c>
      <x:c r="M10" s="39" t="str">
        <x:v>【综合功能3.0】
拆解逻辑：当主要任务对象是“综合功能3.0”时选此标签
底层机制：一级标签负责大类互斥，避免一个素材堆多个主标签
可复用公式：主叙事任务=综合功能3.0 AND 主要证据也指向综合功能3.0
适用条件：以时长占比和核心结果判定
示例结构：一级标签=综合功能3.0</x:v>
      </x:c>
      <x:c r="N10" s="39" t="str">
        <x:v>【创业】
拆解逻辑：用“创业”描述具体内容形态/业务环境
底层机制：二级标签提高检索精度，不重复一级标签
可复用公式：若画面/口播存在可见的创业场景证据→创业
适用条件：证据不足留空；最多1个主二级标签
示例结构：二级标签=创业</x:v>
      </x:c>
      <x:c r="O10" s="39" t="str">
        <x:v>【高频自动化—持续运行】
拆解逻辑：还在每天[固定时间][重复动作]？这件事应该让它自己跑。
底层机制：用自我相关性＋信息缺口/损失规避/结果承诺阻止划走
可复用公式：[人群点名/反问/结果/冲突]＋[具体对象]＋[未解释差异]
适用条件：3秒内≤2个信息点；画面能立刻支撑口播
示例结构：还在每天[固定时间][重复动作]？这件事应该让它自己跑。</x:v>
      </x:c>
      <x:c r="P10" s="39" t="str">
        <x:v>【链接交叉验证】
拆解逻辑：链接主ID与CID能对应时必须一致
底层机制：双重校验降低错行
可复用公式：IF(extract_id([URL])=[cid],PASS,待核验)
适用条件：带详情页链接
示例结构：URL=123、CID=124→待核验</x:v>
      </x:c>
      <x:c r="Q10" s="39" t="str">
        <x:v>【写作任务】
拆解逻辑：按画面中实际发生的任务判为“写作任务”
底层机制：场景标签只描述被演示的事实，不被结尾口号带偏
可复用公式：可见任务动作/界面=写作任务→场景一级标签=写作任务
适用条件：至少一处时间码证据
示例结构：00:12展示写作任务相关操作</x:v>
      </x:c>
      <x:c r="R10" s="39" t="str">
        <x:v>【项目管理】
拆解逻辑：用“项目管理”细分画面中的业务环境
底层机制：同一功能在不同场景的转化动机不同
可复用公式：场景一级标签已确定 AND 可见业务对象=项目管理
适用条件：场景明确且影响脚本理解
示例结构：场景二级标签=项目管理</x:v>
      </x:c>
      <x:c r="S10" s="39" t="str">
        <x:v>【高频自动化—持续运行】
拆解逻辑：周期触发→抓取热点→生成内容→云端发布→查重→数据复盘→异常提醒。
底层机制：功能必须写成可演示动作而非营销形容词
可复用公式：[输入对象]→[系统动作]→[中间状态]→[输出物]→[限制/人工节点]
适用条件：每个功能点都能对应一个UI/动作镜头
示例结构：周期触发→抓取热点→生成内容→云端发布→查重→数据复盘→异常提醒。</x:v>
      </x:c>
      <x:c r="T10" s="40" t="str">
        <x:v>【高频自动化—持续运行】
拆解逻辑：至少出现任务频次设置、执行记录和结果通知；单次演示不能证明‘长期稳定’，需降级表述。
底层机制：时间码事实让结论可审计，防止AI把推断写成产品能力
可复用公式：[时间码]＋[可见画面/可听原话]＋[支持的结论]＋[不确定性]
适用条件：事实/推断/待核验分开；不为新脚本伪造证据
示例结构：至少出现任务频次设置、执行记录和结果通知；单次演示不能证明‘长期稳定’，需降级表述。</x:v>
      </x:c>
    </x:row>
    <x:row r="11" ht="220" customHeight="1">
      <x:c r="A11" s="38" t="str">
        <x:v>【来源追踪】
拆解逻辑：记录素材来自哪个导出或人工收集批次
底层机制：数据血缘决定结论可审计
可复用公式：[URL]｜来源=[平台导出/人工收集/第三方]｜批次=[批次ID]
适用条件：多来源合并
示例结构：...｜平台导出｜2026W34</x:v>
      </x:c>
      <x:c r="B11" s="39" t="str">
        <x:v>【边界缓冲】
拆解逻辑：接近基准的素材不频繁跳类
底层机制：设置灰区降低噪声
可复用公式：若ABS([指标]-[基准])≤[缓冲带]→临界待复测
适用条件：日更看板
示例结构：付费距基准1%→临界</x:v>
      </x:c>
      <x:c r="C11" s="39" t="str">
        <x:v>【状态权重】
拆解逻辑：结果感贯穿且功能仅作解释时判利益感受
底层机制：状态收益是观众购买对象
可复用公式：利益得分=[结果状态秒数]×[情绪强度]
适用条件：品牌/情绪素材
示例结构：准点下班贯穿→利益感受类</x:v>
      </x:c>
      <x:c r="D11" s="39" t="str">
        <x:v>【零门槛创作—身份赋能】
拆解逻辑：能力焦虑 → 极简输入 → 专业流程自动化 → 成片惊喜 → 可修改证明 → 低门槛CTA
底层机制：用单一主张制造记忆点并由证据闭环
可复用公式：[人群/痛点]＋[差异化能力]＋[可见证据]＋[具体结果]；只保留一个主亮点
适用条件：亮点必须能在15字内复述且有画面证据
示例结构：能力焦虑 → 极简输入 → 专业流程自动化 → 成片惊喜 → 可修改证明 → 低门槛CTA</x:v>
      </x:c>
      <x:c r="E11" s="39" t="str">
        <x:v>【零门槛创作—身份赋能】
拆解逻辑：手写/口述粗糙输入在镜头中变成分镜、角色、成片；强调一键前后的跃迁。
底层机制：视觉同时承担模式打断、信息压缩与可信证明
可复用公式：[0-1秒模式打断]→[1-3秒关键信息]→[3秒后证据画面]
适用条件：首帧无声也能理解，且与口播同一主张
示例结构：手写/口述粗糙输入在镜头中变成分镜、角色、成片；强调一键前后的跃迁。</x:v>
      </x:c>
      <x:c r="F11" s="39" t="str">
        <x:v>【零门槛创作—身份赋能】
拆解逻辑：[零基础但有创意的人]＋[缺专业技能]，例：不会画画剪辑但想做AI漫剧的网文作者。
底层机制：角色决定熟悉语言，任务阶段决定痛点强度，意图决定CTA
可复用公式：[职业/身份]＋[当前阶段]＋[高频任务]＋[主要阻碍]＋[行动意图]
适用条件：可从同一句话筛掉非目标人群
示例结构：[零基础但有创意的人]＋[缺专业技能]，例：不会画画剪辑但想做AI漫剧的网文作者。</x:v>
      </x:c>
      <x:c r="G11" s="39" t="str">
        <x:v>【零门槛创作—身份赋能】
拆解逻辑：是否真零基础；风格/角色能否一致；能否修改；版权与商用；成片上限。
底层机制：用户购买的是风险下降与结果确定性
可复用公式：能否[完成任务]？质量[标准]？成本/耗时[阈值]？是否[可靠/安全]？边界[什么]？
适用条件：至少覆盖结果、成本、可信度中的两项
示例结构：是否真零基础；风格/角色能否一致；能否修改；版权与商用；成片上限。</x:v>
      </x:c>
      <x:c r="H11" s="39" t="str">
        <x:v>【零门槛创作—身份赋能】
拆解逻辑：先给可复制模板/免费额度，再提示高级权益；避免一上来只卖会员。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示例结构：先给可复制模板/免费额度，再提示高级权益；避免一上来只卖会员。</x:v>
      </x:c>
      <x:c r="I11" s="39" t="str">
        <x:v>【零门槛创作—身份赋能】
拆解逻辑：用户仅提供[故事/一句描述/参考图]，系统完成专业流程并允许局部修改。
底层机制：场景把功能翻译成用户可想象的使用时刻
可复用公式：[谁]在[何时/何地/触发]为了[目标]，用[功能链]完成[结果]
适用条件：必须包含人物、触发、任务、结果四要素
示例结构：用户仅提供[故事/一句描述/参考图]，系统完成专业流程并允许局部修改。</x:v>
      </x:c>
      <x:c r="J11" s="39" t="str">
        <x:v>【零门槛创作—身份赋能】
拆解逻辑：00:00-00:03 承认不会；00:03-00:08 展示极简输入；00:08-00:28 自动完成脚本/分镜/画面/配音；00:28-00:36 修改一处；00:36-00:45 模板CTA。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承认不会；00:03-00:08 展示极简输入；00:08-00:28 自动完成脚本/分镜/画面/配音；00:28-00:36 修改一处；00:36-00:45 模板CTA。</x:v>
      </x:c>
      <x:c r="K11" s="39" t="str">
        <x:v>【零门槛创作—身份赋能】
拆解逻辑：能力焦虑 → 极简输入 → 专业流程自动化 → 成片惊喜 → 可修改证明 → 低门槛CTA
底层机制：每一段只解决一个心理障碍：注意→相关→相信→想要→行动
可复用公式：能力焦虑 → 极简输入 → 专业流程自动化 → 成片惊喜 → 可修改证明 → 低门槛CTA
适用条件：删除任一环节后仍应保持因果连续；CTA不得突然出现
示例结构：能力焦虑 → 极简输入 → 专业流程自动化 → 成片惊喜 → 可修改证明 → 低门槛CTA</x:v>
      </x:c>
      <x:c r="L11" s="39" t="str">
        <x:v>【零门槛创作—身份赋能】
拆解逻辑：不会画画、不会分镜、不会剪辑、学习成本高、角色不一致、创意落不了地。
底层机制：动作词可拍、后果词可量化、情绪词可共鸣
可复用公式：[具体低效动作]＋[直接损失]＋[主观感受]；用顿号分隔6-10个词
适用条件：禁止只有‘效率低/体验差’等泛词
示例结构：不会画画、不会分镜、不会剪辑、学习成本高、角色不一致、创意落不了地。</x:v>
      </x:c>
      <x:c r="M11" s="39" t="str">
        <x:v>【主任务唯一】
拆解逻辑：只选占时长和结果权重最高的一级标签
底层机制：一级标签用于互斥统计
可复用公式：一级标签=ARGMAX([任务证据时长×结果权重])
适用条件：多功能素材
示例结构：视频任务占主结果→视频任务</x:v>
      </x:c>
      <x:c r="N11" s="39" t="str">
        <x:v>【云电脑】
拆解逻辑：用“云电脑”描述具体内容形态/业务环境
底层机制：二级标签提高检索精度，不重复一级标签
可复用公式：若画面/口播存在可见的云电脑场景证据→云电脑
适用条件：证据不足留空；最多1个主二级标签
示例结构：二级标签=云电脑</x:v>
      </x:c>
      <x:c r="O11" s="39" t="str">
        <x:v>【零门槛创作—身份赋能】
拆解逻辑：不会[专业技能]，也能做出[高标准成品]。
底层机制：用自我相关性＋信息缺口/损失规避/结果承诺阻止划走
可复用公式：[人群点名/反问/结果/冲突]＋[具体对象]＋[未解释差异]
适用条件：3秒内≤2个信息点；画面能立刻支撑口播
示例结构：不会[专业技能]，也能做出[高标准成品]。</x:v>
      </x:c>
      <x:c r="P11" s="39" t="str">
        <x:v>【缺失原因】
拆解逻辑：空CID必须说明阶段/原因
底层机制：区分新脚本、权限缺失和导出缺列
可复用公式：CID=[待上线生成/导出缺失/需权限]
适用条件：缺失值
示例结构：导出缺失</x:v>
      </x:c>
      <x:c r="Q11" s="39" t="str">
        <x:v>【主agent-拟人心智】
拆解逻辑：按画面中实际发生的任务判为“主agent-拟人心智”
底层机制：场景标签只描述被演示的事实，不被结尾口号带偏
可复用公式：可见任务动作/界面=主agent-拟人心智→场景一级标签=主agent-拟人心智
适用条件：至少一处时间码证据
示例结构：00:12展示主agent-拟人心智相关操作</x:v>
      </x:c>
      <x:c r="R11" s="39" t="str">
        <x:v>【业务对象优先】
拆解逻辑：按画面中的客户/内容/商品/项目对象判二级场景
底层机制：同功能在不同业务对象下动机不同
可复用公式：二级场景=可见业务对象，而非受众职业猜测
适用条件：具体业务演示
示例结构：库存/SKU→电商</x:v>
      </x:c>
      <x:c r="S11" s="39" t="str">
        <x:v>【零门槛创作—身份赋能】
拆解逻辑：故事输入→脚本→分镜→角色一致性→视频/配音→局部重做；明确用户仍需审核。
底层机制：功能必须写成可演示动作而非营销形容词
可复用公式：[输入对象]→[系统动作]→[中间状态]→[输出物]→[限制/人工节点]
适用条件：每个功能点都能对应一个UI/动作镜头
示例结构：故事输入→脚本→分镜→角色一致性→视频/配音→局部重做；明确用户仍需审核。</x:v>
      </x:c>
      <x:c r="T11" s="40" t="str">
        <x:v>【零门槛创作—身份赋能】
拆解逻辑：展示原始输入、自动生成各阶段产物和一次修改；若输入实际很复杂，不宣传‘一句话完成’。
底层机制：时间码事实让结论可审计，防止AI把推断写成产品能力
可复用公式：[时间码]＋[可见画面/可听原话]＋[支持的结论]＋[不确定性]
适用条件：事实/推断/待核验分开；不为新脚本伪造证据
示例结构：展示原始输入、自动生成各阶段产物和一次修改；若输入实际很复杂，不宣传‘一句话完成’。</x:v>
      </x:c>
    </x:row>
    <x:row r="12" ht="220" customHeight="1">
      <x:c r="A12" s="38" t="str">
        <x:v>【母子版本】
拆解逻辑：关联原片与不同钩子/CTA剪辑版
底层机制：创意族与投放版本需同时追踪
可复用公式：母版=[URL_A]｜当前版=[URL_B]｜变更=[单变量]
适用条件：素材迭代
示例结构：母版...｜当前...｜变更=前三秒</x:v>
      </x:c>
      <x:c r="B12" s="39" t="str">
        <x:v>【直播优先】
拆解逻辑：来源是直播/直播切片时先判直播
底层机制：直播转化路径与常规素材不同
可复用公式：IF([来源=直播] OR [主CTA=进直播间],直播,进入绩效分类)
适用条件：混合素材库
示例结构：直播切片→直播</x:v>
      </x:c>
      <x:c r="C12" s="39" t="str">
        <x:v>【双主体拆分】
拆解逻辑：两种类型各占近半且可独立成片时拆成两条
底层机制：强行单标会降低检索精度
可复用公式：若Top1-Top2≤10%且段落可拆→拆分素材版本
适用条件：长视频/直播切片
示例结构：痛点版＋功能版</x:v>
      </x:c>
      <x:c r="D12" s="39" t="str">
        <x:v>【多端接力—随时处理】
拆解逻辑：移动突发需求 → 手机指令 → 远端设备执行 → 文件/结果回传 → 三端同步 → 绑定CTA
底层机制：用单一主张制造记忆点并由证据闭环
可复用公式：[人群/痛点]＋[差异化能力]＋[可见证据]＋[具体结果]；只保留一个主亮点
适用条件：亮点必须能在15字内复述且有画面证据
示例结构：移动突发需求 → 手机指令 → 远端设备执行 → 文件/结果回传 → 三端同步 → 绑定CTA</x:v>
      </x:c>
      <x:c r="E12" s="39" t="str">
        <x:v>【多端接力—随时处理】
拆解逻辑：手机对话框→电脑文件高亮→网页打开结果；三设备同屏落版，箭头标明流转。
底层机制：视觉同时承担模式打断、信息压缩与可信证明
可复用公式：[0-1秒模式打断]→[1-3秒关键信息]→[3秒后证据画面]
适用条件：首帧无声也能理解，且与口播同一主张
示例结构：手机对话框→电脑文件高亮→网页打开结果；三设备同屏落版，箭头标明流转。</x:v>
      </x:c>
      <x:c r="F12" s="39" t="str">
        <x:v>【多端接力—随时处理】
拆解逻辑：[移动办公/出差角色]＋[常需跨设备取资料]，例：临时要文件和汇报PPT的项目负责人。
底层机制：角色决定熟悉语言，任务阶段决定痛点强度，意图决定CTA
可复用公式：[职业/身份]＋[当前阶段]＋[高频任务]＋[主要阻碍]＋[行动意图]
适用条件：可从同一句话筛掉非目标人群
示例结构：[移动办公/出差角色]＋[常需跨设备取资料]，例：临时要文件和汇报PPT的项目负责人。</x:v>
      </x:c>
      <x:c r="G12" s="39" t="str">
        <x:v>【多端接力—随时处理】
拆解逻辑：文件能否准确找到；权限/隐私；设备离线怎么办；同步是否实时；支持哪些系统。
底层机制：用户购买的是风险下降与结果确定性
可复用公式：能否[完成任务]？质量[标准]？成本/耗时[阈值]？是否[可靠/安全]？边界[什么]？
适用条件：至少覆盖结果、成本、可信度中的两项
示例结构：文件能否准确找到；权限/隐私；设备离线怎么办；同步是否实时；支持哪些系统。</x:v>
      </x:c>
      <x:c r="H12" s="39" t="str">
        <x:v>【多端接力—随时处理】
拆解逻辑：引导绑定一个真实设备并完成首个跨端任务；版本权益只突出与跨端直接相关项。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示例结构：引导绑定一个真实设备并完成首个跨端任务；版本权益只突出与跨端直接相关项。</x:v>
      </x:c>
      <x:c r="I12" s="39" t="str">
        <x:v>【多端接力—随时处理】
拆解逻辑：用户在外通过手机调用电脑文件，AI汇总处理后在多端同步交付。
底层机制：场景把功能翻译成用户可想象的使用时刻
可复用公式：[谁]在[何时/何地/触发]为了[目标]，用[功能链]完成[结果]
适用条件：必须包含人物、触发、任务、结果四要素
示例结构：用户在外通过手机调用电脑文件，AI汇总处理后在多端同步交付。</x:v>
      </x:c>
      <x:c r="J12" s="39" t="str">
        <x:v>【多端接力—随时处理】
拆解逻辑：00:00-00:03 突发要文件；00:03-00:08 手机下达指令；00:08-00:25 展示电脑端定位/处理；00:25-00:35 手机收到结果；00:35-00:45 兼容说明＋CTA。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突发要文件；00:03-00:08 手机下达指令；00:08-00:25 展示电脑端定位/处理；00:25-00:35 手机收到结果；00:35-00:45 兼容说明＋CTA。</x:v>
      </x:c>
      <x:c r="K12" s="39" t="str">
        <x:v>【多端接力—随时处理】
拆解逻辑：移动突发需求 → 手机指令 → 远端设备执行 → 文件/结果回传 → 三端同步 → 绑定CTA
底层机制：每一段只解决一个心理障碍：注意→相关→相信→想要→行动
可复用公式：移动突发需求 → 手机指令 → 远端设备执行 → 文件/结果回传 → 三端同步 → 绑定CTA
适用条件：删除任一环节后仍应保持因果连续；CTA不得突然出现
示例结构：移动突发需求 → 手机指令 → 远端设备执行 → 文件/结果回传 → 三端同步 → 绑定CTA</x:v>
      </x:c>
      <x:c r="L12" s="39" t="str">
        <x:v>【多端接力—随时处理】
拆解逻辑：不在电脑旁、文件找不到、版本不同步、设备切换、临时交付、远程操作复杂。
底层机制：动作词可拍、后果词可量化、情绪词可共鸣
可复用公式：[具体低效动作]＋[直接损失]＋[主观感受]；用顿号分隔6-10个词
适用条件：禁止只有‘效率低/体验差’等泛词
示例结构：不在电脑旁、文件找不到、版本不同步、设备切换、临时交付、远程操作复杂。</x:v>
      </x:c>
      <x:c r="M12" s="39" t="str">
        <x:v>【综合功能门槛】
拆解逻辑：只有多个一级任务均有闭环时才用综合功能3.0
底层机制：避免把功能罗列误标为综合
可复用公式：命中≥3个一级任务且各有输入—输出证据→综合功能3.0
适用条件：产品总览
示例结构：视频＋Excel＋PPT均闭环</x:v>
      </x:c>
      <x:c r="N12" s="39" t="str">
        <x:v>【创业场景】
拆解逻辑：用“创业场景”描述具体内容形态/业务环境
底层机制：二级标签提高检索精度，不重复一级标签
可复用公式：若画面/口播存在可见的创业场景场景证据→创业场景
适用条件：证据不足留空；最多1个主二级标签
示例结构：二级标签=创业场景</x:v>
      </x:c>
      <x:c r="O12" s="39" t="str">
        <x:v>【多端接力—随时处理】
拆解逻辑：电脑不在身边，我用手机一句话把电脑里的[文件]处理完了。
底层机制：用自我相关性＋信息缺口/损失规避/结果承诺阻止划走
可复用公式：[人群点名/反问/结果/冲突]＋[具体对象]＋[未解释差异]
适用条件：3秒内≤2个信息点；画面能立刻支撑口播
示例结构：电脑不在身边，我用手机一句话把电脑里的[文件]处理完了。</x:v>
      </x:c>
      <x:c r="P12" s="39" t="str">
        <x:v>【账户命名空间】
拆解逻辑：跨账户CID前加账户键
底层机制：部分平台ID只在账户内唯一
可复用公式：unique_key=[平台]|[账户]|[cid]
适用条件：多账户素材库
示例结构：平台A|账户02|7646...</x:v>
      </x:c>
      <x:c r="Q12" s="39" t="str">
        <x:v>【实际画面优先】
拆解逻辑：只按演示中发生的任务标场景
底层机制：场景标签不能被片尾能力清单污染
可复用公式：场景一级=ARGMAX([可见任务动作时长])
适用条件：综合宣传片
示例结构：主要在做视频→视频任务</x:v>
      </x:c>
      <x:c r="R12" s="39" t="str">
        <x:v>【多元场景门槛】
拆解逻辑：至少3个不同业务环境且无单一主场景时使用多元场景
底层机制：避免把两个相近镜头泛化
可复用公式：命中≥3类二级场景且Top1&lt;50%→多元场景
适用条件：产品总览
示例结构：办公＋创作＋开发</x:v>
      </x:c>
      <x:c r="S12" s="39" t="str">
        <x:v>【多端接力—随时处理】
拆解逻辑：手机发令→远端电脑定位文件→AI读取/汇总→生成交付物→多端同步；列清权限授权。
底层机制：功能必须写成可演示动作而非营销形容词
可复用公式：[输入对象]→[系统动作]→[中间状态]→[输出物]→[限制/人工节点]
适用条件：每个功能点都能对应一个UI/动作镜头
示例结构：手机发令→远端电脑定位文件→AI读取/汇总→生成交付物→多端同步；列清权限授权。</x:v>
      </x:c>
      <x:c r="T12" s="40" t="str">
        <x:v>【多端接力—随时处理】
拆解逻辑：分别记录手机指令、桌面端文件动作和结果回传；若设备画面来自剪辑拼接，不能断言实时。
底层机制：时间码事实让结论可审计，防止AI把推断写成产品能力
可复用公式：[时间码]＋[可见画面/可听原话]＋[支持的结论]＋[不确定性]
适用条件：事实/推断/待核验分开；不为新脚本伪造证据
示例结构：分别记录手机指令、桌面端文件动作和结果回传；若设备画面来自剪辑拼接，不能断言实时。</x:v>
      </x:c>
    </x:row>
    <x:row r="13" ht="220" customHeight="1">
      <x:c r="A13" s="38" t="str">
        <x:v>【内容哈希】
拆解逻辑：无法稳定访问时用文件哈希辅助去重
底层机制：同内容可能有不同链接
可复用公式：[平台]|[素材ID]|sha256([文件])
适用条件：重复下载/转存
示例结构：platform|123|a8f...</x:v>
      </x:c>
      <x:c r="B13" s="39" t="str">
        <x:v>【商品优先】
拆解逻辑：以商品卡/会员成交为唯一主目标时判商品
底层机制：商品素材需与内容广告分开评估
可复用公式：IF([主目标=直接成交] AND [明确商品/价格],商品,进入其他分类)
适用条件：电商/会员素材
示例结构：权益价格表＋购买按钮→商品</x:v>
      </x:c>
      <x:c r="C13" s="39" t="str">
        <x:v>【置信度】
拆解逻辑：边界案例同时记录判定置信度
底层机制：不确定性可指导人工复核
可复用公式：置信度=Top1占比-Top2占比；&lt;10%标低
适用条件：自动标注
示例结构：品宣功能类｜低置信</x:v>
      </x:c>
      <x:c r="D13" s="39" t="str">
        <x:v>【热点借势—时效红利】
拆解逻辑：热点时间差 → 垂类机会 → 快速工作流 → 查重/合规 → 发布结果 → 模板CTA
底层机制：用单一主张制造记忆点并由证据闭环
可复用公式：[人群/痛点]＋[差异化能力]＋[可见证据]＋[具体结果]；只保留一个主亮点
适用条件：亮点必须能在15字内复述且有画面证据
示例结构：热点时间差 → 垂类机会 → 快速工作流 → 查重/合规 → 发布结果 → 模板CTA</x:v>
      </x:c>
      <x:c r="E13" s="39" t="str">
        <x:v>【热点借势—时效红利】
拆解逻辑：热榜时间戳→指令输入→成片倒计时→发布状态；显示从发现到发布的时间线。
底层机制：视觉同时承担模式打断、信息压缩与可信证明
可复用公式：[0-1秒模式打断]→[1-3秒关键信息]→[3秒后证据画面]
适用条件：首帧无声也能理解，且与口播同一主张
示例结构：热榜时间戳→指令输入→成片倒计时→发布状态；显示从发现到发布的时间线。</x:v>
      </x:c>
      <x:c r="F13" s="39" t="str">
        <x:v>【热点借势—时效红利】
拆解逻辑：[依赖流量时效的内容角色]＋[垂类定位]，例：追梗慢半拍的短视频博主。
底层机制：角色决定熟悉语言，任务阶段决定痛点强度，意图决定CTA
可复用公式：[职业/身份]＋[当前阶段]＋[高频任务]＋[主要阻碍]＋[行动意图]
适用条件：可从同一句话筛掉非目标人群
示例结构：[依赖流量时效的内容角色]＋[垂类定位]，例：追梗慢半拍的短视频博主。</x:v>
      </x:c>
      <x:c r="G13" s="39" t="str">
        <x:v>【热点借势—时效红利】
拆解逻辑：热点发现是否及时；改编会不会同质；合规/版权；能否保持账号调性。
底层机制：用户购买的是风险下降与结果确定性
可复用公式：能否[完成任务]？质量[标准]？成本/耗时[阈值]？是否[可靠/安全]？边界[什么]？
适用条件：至少覆盖结果、成本、可信度中的两项
示例结构：热点发现是否及时；改编会不会同质；合规/版权；能否保持账号调性。</x:v>
      </x:c>
      <x:c r="H13" s="39" t="str">
        <x:v>【热点借势—时效红利】
拆解逻辑：领取[热点工作流/模板]并设置自己的垂类关键词；不要只用‘赶紧下载’空泛收口。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示例结构：领取[热点工作流/模板]并设置自己的垂类关键词；不要只用‘赶紧下载’空泛收口。</x:v>
      </x:c>
      <x:c r="I13" s="39" t="str">
        <x:v>【热点借势—时效红利】
拆解逻辑：热点出现后，系统抓取、去重、垂类改编、出片并发布，用户审核关键节点。
底层机制：场景把功能翻译成用户可想象的使用时刻
可复用公式：[谁]在[何时/何地/触发]为了[目标]，用[功能链]完成[结果]
适用条件：必须包含人物、触发、任务、结果四要素
示例结构：热点出现后，系统抓取、去重、垂类改编、出片并发布，用户审核关键节点。</x:v>
      </x:c>
      <x:c r="J13" s="39" t="str">
        <x:v>【热点借势—时效红利】
拆解逻辑：00:00-00:03 展示热点＋时间戳；00:03-00:08 设定垂类改编；00:08-00:25 生成/查重/修改；00:25-00:33 发布；00:33-00:42 结果与模板CTA。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展示热点＋时间戳；00:03-00:08 设定垂类改编；00:08-00:25 生成/查重/修改；00:25-00:33 发布；00:33-00:42 结果与模板CTA。</x:v>
      </x:c>
      <x:c r="K13" s="39" t="str">
        <x:v>【热点借势—时效红利】
拆解逻辑：热点时间差 → 垂类机会 → 快速工作流 → 查重/合规 → 发布结果 → 模板CTA
底层机制：每一段只解决一个心理障碍：注意→相关→相信→想要→行动
可复用公式：热点时间差 → 垂类机会 → 快速工作流 → 查重/合规 → 发布结果 → 模板CTA
适用条件：删除任一环节后仍应保持因果连续；CTA不得突然出现
示例结构：热点时间差 → 垂类机会 → 快速工作流 → 查重/合规 → 发布结果 → 模板CTA</x:v>
      </x:c>
      <x:c r="L13" s="39" t="str">
        <x:v>【热点借势—时效红利】
拆解逻辑：追热点慢、同质化、选题枯竭、制作周期长、错过流量窗口、版权风险。
底层机制：动作词可拍、后果词可量化、情绪词可共鸣
可复用公式：[具体低效动作]＋[直接损失]＋[主观感受]；用顿号分隔6-10个词
适用条件：禁止只有‘效率低/体验差’等泛词
示例结构：追热点慢、同质化、选题枯竭、制作周期长、错过流量窗口、版权风险。</x:v>
      </x:c>
      <x:c r="M13" s="39" t="str">
        <x:v>【任务对象优先】
拆解逻辑：按用户最终要完成的对象而非底层技术判定
底层机制：标签应服务场景检索
可复用公式：最终交付物=[视频/代码/表格/PPT/项目]→对应标签
适用条件：技术能力混合
示例结构：用Agent做PPT→PPT任务</x:v>
      </x:c>
      <x:c r="N13" s="39" t="str">
        <x:v>【小程序】
拆解逻辑：用“小程序”描述具体内容形态/业务环境
底层机制：二级标签提高检索精度，不重复一级标签
可复用公式：若画面/口播存在可见的小程序场景证据→小程序
适用条件：证据不足留空；最多1个主二级标签
示例结构：二级标签=小程序</x:v>
      </x:c>
      <x:c r="O13" s="39" t="str">
        <x:v>【热点借势—时效红利】
拆解逻辑：[热点]刚火，我已经用[工具]做出[垂类版本]并发出去了。
底层机制：用自我相关性＋信息缺口/损失规避/结果承诺阻止划走
可复用公式：[人群点名/反问/结果/冲突]＋[具体对象]＋[未解释差异]
适用条件：3秒内≤2个信息点；画面能立刻支撑口播
示例结构：[热点]刚火，我已经用[工具]做出[垂类版本]并发出去了。</x:v>
      </x:c>
      <x:c r="P13" s="39" t="str">
        <x:v>【母版关系】
拆解逻辑：创意母版ID与投放CID分字段表达
底层机制：一个母版可派生多个投放单元
可复用公式：master_id=[创意族ID]；cid=[当前投放ID]
适用条件：A/B版本
示例结构：M001；7646...</x:v>
      </x:c>
      <x:c r="Q13" s="39" t="str">
        <x:v>【技能商店门槛】
拆解逻辑：明确展示浏览/选择/安装技能才标技能商店
底层机制：提到技能不等于发生商店场景
可复用公式：有[商店界面＋选择/安装动作]→技能商店
适用条件：能力市场素材
示例结构：00:12点击安装技能</x:v>
      </x:c>
      <x:c r="R13" s="39" t="str">
        <x:v>【宣传片边界】
拆解逻辑：品牌概念和能力总览为主、缺具体业务闭环时标宣传片
底层机制：宣传片描述表达形态而非任务对象
可复用公式：品牌叙事/概念视觉占主时长→宣传片
适用条件：品牌片
示例结构：角色动效＋能力口号</x:v>
      </x:c>
      <x:c r="S13" s="39" t="str">
        <x:v>【热点借势—时效红利】
拆解逻辑：热榜抓取→垂类筛选→差异化改编→内容查重→成片→定时发布。
底层机制：功能必须写成可演示动作而非营销形容词
可复用公式：[输入对象]→[系统动作]→[中间状态]→[输出物]→[限制/人工节点]
适用条件：每个功能点都能对应一个UI/动作镜头
示例结构：热榜抓取→垂类筛选→差异化改编→内容查重→成片→定时发布。</x:v>
      </x:c>
      <x:c r="T13" s="40" t="str">
        <x:v>【热点借势—时效红利】
拆解逻辑：保留热榜时间、任务创建时间、成片/发布时间；流量结果需注明观察窗口，不能归因过度。
底层机制：时间码事实让结论可审计，防止AI把推断写成产品能力
可复用公式：[时间码]＋[可见画面/可听原话]＋[支持的结论]＋[不确定性]
适用条件：事实/推断/待核验分开；不为新脚本伪造证据
示例结构：保留热榜时间、任务创建时间、成片/发布时间；流量结果需注明观察窗口，不能归因过度。</x:v>
      </x:c>
    </x:row>
    <x:row r="14" ht="220" customHeight="1">
      <x:c r="A14" s="38" t="str">
        <x:v>【重定向核验】
拆解逻辑：记录最终重定向后的域名与主ID
底层机制：防止钓鱼或错误跳转
可复用公式：IF([最终域名在白名单] AND [主ID存在],有效,待核验)
适用条件：外部分享链接
示例结构：待核验：域名不在白名单</x:v>
      </x:c>
      <x:c r="B14" s="39" t="str">
        <x:v>【多目标拆分】
拆解逻辑：同素材承担点击和付费时按主KPI定类
底层机制：一个分类只能服务一个优化目标
可复用公式：主KPI=[预算占比最高的优化目标]；分类按主KPI基准
适用条件：多目标投放
示例结构：80%预算优化付费→按付费目标</x:v>
      </x:c>
      <x:c r="C14" s="39" t="str">
        <x:v>【互斥校验】
拆解逻辑：一条素材只保留一个主类型
底层机制：否则无法统计类型表现
可复用公式：COUNT([三类命中])=1
适用条件：入库质检
示例结构：三类都填→退回复核</x:v>
      </x:c>
      <x:c r="D14" s="39" t="str">
        <x:v>【权益堆叠—稀缺促单】
拆解逻辑：结果钩子 → 功能价值证明 → 价格锚点 → 权益堆叠 → 真实稀缺 → 唯一CTA
底层机制：用单一主张制造记忆点并由证据闭环
可复用公式：[人群/痛点]＋[差异化能力]＋[可见证据]＋[具体结果]；只保留一个主亮点
适用条件：亮点必须能在15字内复述且有画面证据
示例结构：结果钩子 → 功能价值证明 → 价格锚点 → 权益堆叠 → 真实稀缺 → 唯一CTA</x:v>
      </x:c>
      <x:c r="E14" s="39" t="str">
        <x:v>【权益堆叠—稀缺促单】
拆解逻辑：先短闭环演示；后切高对比价格表、权益卡、倒计时/库存；唯一按钮持续出现。
底层机制：视觉同时承担模式打断、信息压缩与可信证明
可复用公式：[0-1秒模式打断]→[1-3秒关键信息]→[3秒后证据画面]
适用条件：首帧无声也能理解，且与口播同一主张
示例结构：先短闭环演示；后切高对比价格表、权益卡、倒计时/库存；唯一按钮持续出现。</x:v>
      </x:c>
      <x:c r="F14" s="39" t="str">
        <x:v>【权益堆叠—稀缺促单】
拆解逻辑：[已被功能教育的高意向人群]＋[价格敏感/需要服务]，例：想要会员、课程和社群支持的新手。
底层机制：角色决定熟悉语言，任务阶段决定痛点强度，意图决定CTA
可复用公式：[职业/身份]＋[当前阶段]＋[高频任务]＋[主要阻碍]＋[行动意图]
适用条件：可从同一句话筛掉非目标人群
示例结构：[已被功能教育的高意向人群]＋[价格敏感/需要服务]，例：想要会员、课程和社群支持的新手。</x:v>
      </x:c>
      <x:c r="G14" s="39" t="str">
        <x:v>【权益堆叠—稀缺促单】
拆解逻辑：折扣是否真实；每项权益具体是什么；适用期限；自动续费；赠品交付；退款规则。
底层机制：用户购买的是风险下降与结果确定性
可复用公式：能否[完成任务]？质量[标准]？成本/耗时[阈值]？是否[可靠/安全]？边界[什么]？
适用条件：至少覆盖结果、成本、可信度中的两项
示例结构：折扣是否真实；每项权益具体是什么；适用期限；自动续费；赠品交付；退款规则。</x:v>
      </x:c>
      <x:c r="H14" s="39" t="str">
        <x:v>【权益堆叠—稀缺促单】
拆解逻辑：价值锚点→权益三件套→真实截止→唯一动作；模板：[原价/单买价值]，今天[到手价]，点[入口]。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示例结构：价值锚点→权益三件套→真实截止→唯一动作；模板：[原价/单买价值]，今天[到手价]，点[入口]。</x:v>
      </x:c>
      <x:c r="I14" s="39" t="str">
        <x:v>【权益堆叠—稀缺促单】
拆解逻辑：功能演示结束后，主播拆解会员能力、服务赠品与限时优惠并引导下单。
底层机制：场景把功能翻译成用户可想象的使用时刻
可复用公式：[谁]在[何时/何地/触发]为了[目标]，用[功能链]完成[结果]
适用条件：必须包含人物、触发、任务、结果四要素
示例结构：功能演示结束后，主播拆解会员能力、服务赠品与限时优惠并引导下单。</x:v>
      </x:c>
      <x:c r="J14" s="39" t="str">
        <x:v>【权益堆叠—稀缺促单】
拆解逻辑：00:00-00:05 最强结果；00:05-00:22 核心功能闭环；00:22-00:30 原价/价值锚定；00:30-00:43 权益逐条；00:43-00:50 截止条件＋唯一CTA。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示例结构：00:00-00:05 最强结果；00:05-00:22 核心功能闭环；00:22-00:30 原价/价值锚定；00:30-00:43 权益逐条；00:43-00:50 截止条件＋唯一CTA。</x:v>
      </x:c>
      <x:c r="K14" s="39" t="str">
        <x:v>【权益堆叠—稀缺促单】
拆解逻辑：结果钩子 → 功能价值证明 → 价格锚点 → 权益堆叠 → 真实稀缺 → 唯一CTA
底层机制：每一段只解决一个心理障碍：注意→相关→相信→想要→行动
可复用公式：结果钩子 → 功能价值证明 → 价格锚点 → 权益堆叠 → 真实稀缺 → 唯一CTA
适用条件：删除任一环节后仍应保持因果连续；CTA不得突然出现
示例结构：结果钩子 → 功能价值证明 → 价格锚点 → 权益堆叠 → 真实稀缺 → 唯一CTA</x:v>
      </x:c>
      <x:c r="L14" s="39" t="str">
        <x:v>【权益堆叠—稀缺促单】
拆解逻辑：价格顾虑、不会使用、缺服务、试错成本、排队等待、权益看不懂、错过优惠。
底层机制：动作词可拍、后果词可量化、情绪词可共鸣
可复用公式：[具体低效动作]＋[直接损失]＋[主观感受]；用顿号分隔6-10个词
适用条件：禁止只有‘效率低/体验差’等泛词
示例结构：价格顾虑、不会使用、缺服务、试错成本、排队等待、权益看不懂、错过优惠。</x:v>
      </x:c>
      <x:c r="M14" s="39" t="str">
        <x:v>【时长平局】
拆解逻辑：时长接近时以钩子承诺和最终结果裁决
底层机制：主承诺决定观众理解
可复用公式：若Top1-Top2≤10%→看前三秒＋最终交付物
适用条件：边界素材
示例结构：开场和成品都指向视频→视频任务</x:v>
      </x:c>
      <x:c r="N14" s="39" t="str">
        <x:v>【个人提升】
拆解逻辑：用“个人提升”描述具体内容形态/业务环境
底层机制：二级标签提高检索精度，不重复一级标签
可复用公式：若画面/口播存在可见的个人提升场景证据→个人提升
适用条件：证据不足留空；最多1个主二级标签
示例结构：二级标签=个人提升</x:v>
      </x:c>
      <x:c r="O14" s="39" t="str">
        <x:v>【权益堆叠—稀缺促单】
拆解逻辑：今天[核心能力]＋[最强权益]一起开放，但只到[真实截止条件]。
底层机制：用自我相关性＋信息缺口/损失规避/结果承诺阻止划走
可复用公式：[人群点名/反问/结果/冲突]＋[具体对象]＋[未解释差异]
适用条件：3秒内≤2个信息点；画面能立刻支撑口播
示例结构：今天[核心能力]＋[最强权益]一起开放，但只到[真实截止条件]。</x:v>
      </x:c>
      <x:c r="P14" s="39" t="str">
        <x:v>【状态回填】
拆解逻辑：上线后把占位值替换为真实CID并记录日期
底层机制：保证生成库与投放库连接
可复用公式：待上线生成→[真实cid]｜回填日=[日期]
适用条件：脚本上线
示例结构：7646...｜2026-08-30</x:v>
      </x:c>
      <x:c r="Q14" s="39" t="str">
        <x:v>【设计任务边界】
拆解逻辑：视觉产物为主且设计操作可见时标设计任务
底层机制：成品海报不等于设计流程
可复用公式：输入设计需求＋生成/修改视觉→设计任务
适用条件：海报/品牌设计
示例结构：改颜色/版式并导出</x:v>
      </x:c>
      <x:c r="R14" s="39" t="str">
        <x:v>【项目管理边界】
拆解逻辑：任务分派、资料、进度、版本在同一项目中可见
底层机制：出现‘项目’二字不够
可复用公式：至少展示[成员/任务/文件/进度]中2项→项目管理
适用条件：协作场景
示例结构：@分工＋文件回传</x:v>
      </x:c>
      <x:c r="S14" s="39" t="str">
        <x:v>【权益堆叠—稀缺促单】
拆解逻辑：核心付费能力＋额度/优先级＋社群/客服/课程；每项写明数量、期限与领取方式。
底层机制：功能必须写成可演示动作而非营销形容词
可复用公式：[输入对象]→[系统动作]→[中间状态]→[输出物]→[限制/人工节点]
适用条件：每个功能点都能对应一个UI/动作镜头
示例结构：核心付费能力＋额度/优先级＋社群/客服/课程；每项写明数量、期限与领取方式。</x:v>
      </x:c>
      <x:c r="T14" s="40" t="str">
        <x:v>【权益堆叠—稀缺促单】
拆解逻辑：时间码记录价格、折扣、权益、截止与按钮；缺少活动规则时标‘以页面为准’，不虚构库存。
底层机制：时间码事实让结论可审计，防止AI把推断写成产品能力
可复用公式：[时间码]＋[可见画面/可听原话]＋[支持的结论]＋[不确定性]
适用条件：事实/推断/待核验分开；不为新脚本伪造证据
示例结构：时间码记录价格、折扣、权益、截止与按钮；缺少活动规则时标‘以页面为准’，不虚构库存。</x:v>
      </x:c>
    </x:row>
    <x:row r="15" ht="220" customHeight="1">
      <x:c r="A15" s="38" t="str">
        <x:v>【更新时间】
拆解逻辑：链接指向内容被替换时保留变更日
底层机制：同URL内容变化会污染历史归因
可复用公式：[URL]｜首次入库=[日期]｜最近核验=[日期]
适用条件：可编辑云素材
示例结构：...｜2026-08-01｜2026-08-24</x:v>
      </x:c>
      <x:c r="B15" s="39" t="str">
        <x:v>【版本独立】
拆解逻辑：不同钩子/CTA版本分别分类
底层机制：聚合会掩盖单变量效果
可复用公式：classification_key=[cid/版本]＋[渠道]＋[窗口]
适用条件：A/B测试
示例结构：v1双高；v2低付费高次留</x:v>
      </x:c>
      <x:c r="C15" s="39" t="str">
        <x:v>【重剪后更新】
拆解逻辑：主体时长或叙事顺序变化时重新判类
底层机制：素材类型属于版本而非母创意
可复用公式：若[主体段变化&gt;20%]→重算类型
适用条件：二剪/混剪
示例结构：删除痛点段后改判品宣</x:v>
      </x:c>
      <x:c r="D15" s="39" t="str">
        <x:v>【人物故事—身份代入】
拆解逻辑：身份钩子 → 具体失败 → 根因揭示 → 产品转折 → 成果/情绪变化 → 同类人CTA
底层机制：用单一主张制造记忆点并由证据闭环
可复用公式：[人群/痛点]＋[差异化能力]＋[可见证据]＋[具体结果]；只保留一个主亮点
适用条件：亮点必须能在15字内复述且有画面证据
示例结构：身份钩子 → 具体失败 → 根因揭示 → 产品转折 → 成果/情绪变化 → 同类人CTA</x:v>
      </x:c>
      <x:c r="E15" s="39" t="str">
        <x:v>【人物故事—身份代入】
拆解逻辑：真人工作环境＋屏幕小窗；失败状态用冷色，转折后用真实操作和成果特写。
底层机制：视觉同时承担模式打断、信息压缩与可信证明
可复用公式：[0-1秒模式打断]→[1-3秒关键信息]→[3秒后证据画面]
适用条件：首帧无声也能理解，且与口播同一主张
示例结构：真人工作环境＋屏幕小窗；失败状态用冷色，转折后用真实操作和成果特写。</x:v>
      </x:c>
      <x:c r="F15" s="39" t="str">
        <x:v>【人物故事—身份代入】
拆解逻辑：[身份明确的人]＋[处于转折阶段]，例：第一次独立做产品却不会开发网页的产品经理。
底层机制：角色决定熟悉语言，任务阶段决定痛点强度，意图决定CTA
可复用公式：[职业/身份]＋[当前阶段]＋[高频任务]＋[主要阻碍]＋[行动意图]
适用条件：可从同一句话筛掉非目标人群
示例结构：[身份明确的人]＋[处于转折阶段]，例：第一次独立做产品却不会开发网页的产品经理。</x:v>
      </x:c>
      <x:c r="G15" s="39" t="str">
        <x:v>【人物故事—身份代入】
拆解逻辑：故事是否像自己；步骤能否复制；工具是否真正解决关键卡点；结果是否夸大。
底层机制：用户购买的是风险下降与结果确定性
可复用公式：能否[完成任务]？质量[标准]？成本/耗时[阈值]？是否[可靠/安全]？边界[什么]？
适用条件：至少覆盖结果、成本、可信度中的两项
示例结构：故事是否像自己；步骤能否复制；工具是否真正解决关键卡点；结果是否夸大。</x:v>
      </x:c>
      <x:c r="H15" s="39" t="str">
        <x:v>【人物故事—身份代入】
拆解逻辑：以人物口吻邀请：如果你也在[阶段]，先用[模板/试用]完成第一个[小结果]。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示例结构：以人物口吻邀请：如果你也在[阶段]，先用[模板/试用]完成第一个[小结果]。</x:v>
      </x:c>
      <x:c r="I15" s="39" t="str">
        <x:v>【人物故事—身份代入】
拆解逻辑：人物在[项目节点]连续受挫，发现[根因]后用[功能链]获得[具体转变]。
底层机制：场景把功能翻译成用户可想象的使用时刻
可复用公式：[谁]在[何时/何地/触发]为了[目标]，用[功能链]完成[结果]
适用条件：必须包含人物、触发、任务、结果四要素
示例结构：人物在[项目节点]连续受挫，发现[根因]后用[功能链]获得[具体转变]。</x:v>
      </x:c>
      <x:c r="J15" s="39" t="str">
        <x:v>【人物故事—身份代入】
拆解逻辑：00:00-00:04 身份＋失败；00:04-00:10 暴露深层问题；00:10-00:28 操作转折；00:28-00:36 展示成果与感受；00:36-00:45 同类人CTA。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示例结构：00:00-00:04 身份＋失败；00:04-00:10 暴露深层问题；00:10-00:28 操作转折；00:28-00:36 展示成果与感受；00:36-00:45 同类人CTA。</x:v>
      </x:c>
      <x:c r="K15" s="39" t="str">
        <x:v>【人物故事—身份代入】
拆解逻辑：身份钩子 → 具体失败 → 根因揭示 → 产品转折 → 成果/情绪变化 → 同类人CTA
底层机制：每一段只解决一个心理障碍：注意→相关→相信→想要→行动
可复用公式：身份钩子 → 具体失败 → 根因揭示 → 产品转折 → 成果/情绪变化 → 同类人CTA
适用条件：删除任一环节后仍应保持因果连续；CTA不得突然出现
示例结构：身份钩子 → 具体失败 → 根因揭示 → 产品转折 → 成果/情绪变化 → 同类人CTA</x:v>
      </x:c>
      <x:c r="L15" s="39" t="str">
        <x:v>【人物故事—身份代入】
拆解逻辑：启动难、没人配合、不懂专业环节、反复受挫、交付焦虑、身份不自信。
底层机制：动作词可拍、后果词可量化、情绪词可共鸣
可复用公式：[具体低效动作]＋[直接损失]＋[主观感受]；用顿号分隔6-10个词
适用条件：禁止只有‘效率低/体验差’等泛词
示例结构：启动难、没人配合、不懂专业环节、反复受挫、交付焦虑、身份不自信。</x:v>
      </x:c>
      <x:c r="M15" s="39" t="str">
        <x:v>【证据不足】
拆解逻辑：仅口播提及、画面未展示时不选该标签
底层机制：标签是可验证事实而非宣传覆盖面
可复用公式：可见动作/产物&lt;1处→该标签不成立
适用条件：品牌片
示例结构：只说能做Excel→不标Excel任务</x:v>
      </x:c>
      <x:c r="N15" s="39" t="str">
        <x:v>【应用】
拆解逻辑：用“应用”描述具体内容形态/业务环境
底层机制：二级标签提高检索精度，不重复一级标签
可复用公式：若画面/口播存在可见的应用场景证据→应用
适用条件：证据不足留空；最多1个主二级标签
示例结构：二级标签=应用</x:v>
      </x:c>
      <x:c r="O15" s="39" t="str">
        <x:v>【人物故事—身份代入】
拆解逻辑：我以为[身份]最难的是[表面问题]，后来才发现真正卡住我的是[深层问题]。
底层机制：用自我相关性＋信息缺口/损失规避/结果承诺阻止划走
可复用公式：[人群点名/反问/结果/冲突]＋[具体对象]＋[未解释差异]
适用条件：3秒内≤2个信息点；画面能立刻支撑口播
示例结构：我以为[身份]最难的是[表面问题]，后来才发现真正卡住我的是[深层问题]。</x:v>
      </x:c>
      <x:c r="P15" s="39" t="str">
        <x:v>【下线保留】
拆解逻辑：素材下线不删除CID
底层机制：历史归因仍依赖原主键
可复用公式：[cid]｜状态=已下线｜下线日=[日期]
适用条件：生命周期管理
示例结构：7646...｜已下线</x:v>
      </x:c>
      <x:c r="Q15" s="39" t="str">
        <x:v>【写作任务边界】
拆解逻辑：文本创作/改写是主任务时标写作任务
底层机制：脚本中的口播文字不自动构成写作场景
可复用公式：主要输入/输出均为文本且写作过程可见→写作任务
适用条件：文案/小说
示例结构：大纲→章节改写</x:v>
      </x:c>
      <x:c r="R15" s="39" t="str">
        <x:v>【自媒体与电商】
拆解逻辑：按主要经营结果裁决内容流量还是商品成交
底层机制：两者常同时出现但目标不同
可复用公式：结果=发布/涨粉→自媒体；结果=库存/SKU/成交→电商
适用条件：内容电商
示例结构：以SKU复盘收口→电商</x:v>
      </x:c>
      <x:c r="S15" s="39" t="str">
        <x:v>【人物故事—身份代入】
拆解逻辑：需求描述→生成原型/代码→预览→根据反馈修改→发布；人物始终是决策者。
底层机制：功能必须写成可演示动作而非营销形容词
可复用公式：[输入对象]→[系统动作]→[中间状态]→[输出物]→[限制/人工节点]
适用条件：每个功能点都能对应一个UI/动作镜头
示例结构：需求描述→生成原型/代码→预览→根据反馈修改→发布；人物始终是决策者。</x:v>
      </x:c>
      <x:c r="T15" s="40" t="str">
        <x:v>【人物故事—身份代入】
拆解逻辑：故事性口播与界面事实分开记录；结果数据需给来源，个人感受不可当普遍效果。
底层机制：时间码事实让结论可审计，防止AI把推断写成产品能力
可复用公式：[时间码]＋[可见画面/可听原话]＋[支持的结论]＋[不确定性]
适用条件：事实/推断/待核验分开；不为新脚本伪造证据
示例结构：故事性口播与界面事实分开记录；结果数据需给来源，个人感受不可当普遍效果。</x:v>
      </x:c>
    </x:row>
    <x:row r="16" ht="220" customHeight="1">
      <x:c r="A16" s="38" t="str">
        <x:v>【责任人】
拆解逻辑：为失效/权限问题指定维护人
底层机制：没有Owner的数据问题不会闭环
可复用公式：[URL]｜Owner=[姓名/团队]｜状态=[待处理]
适用条件：团队知识库
示例结构：...｜Owner=素材运营｜待授权</x:v>
      </x:c>
      <x:c r="B16" s="39" t="str">
        <x:v>【重分类规则】
拆解逻辑：只在窗口闭合或样本显著增加后更新
底层机制：防止日内波动改写知识库
可复用公式：若[归因窗口闭合 OR 样本量×2]→允许重算
适用条件：持续投放
示例结构：D7窗口闭合后重分类</x:v>
      </x:c>
      <x:c r="C16" s="39" t="str">
        <x:v>【跨人群稳定性】
拆解逻辑：同一脚本换人群措辞但结构不变，类型保持
底层机制：类型描述叙事重心，不描述受众
可复用公式：结构不变 AND 主体证据不变→类型不变
适用条件：批量换皮
示例结构：白领版/老板版均为品宣</x:v>
      </x:c>
      <x:c r="D16" s="39" t="str">
        <x:v>【失败复盘—避坑纠错】
拆解逻辑：失败结果 → 原因诊断 → 分步纠错 → 重做演示 → 前后对比 → 清单CTA
底层机制：用单一主张制造记忆点并由证据闭环
可复用公式：[人群/痛点]＋[差异化能力]＋[可见证据]＋[具体结果]；只保留一个主亮点
适用条件：亮点必须能在15字内复述且有画面证据
示例结构：失败结果 → 原因诊断 → 分步纠错 → 重做演示 → 前后对比 → 清单CTA</x:v>
      </x:c>
      <x:c r="E16" s="39" t="str">
        <x:v>【失败复盘—避坑纠错】
拆解逻辑：失败成品红框标错→操作回放→逐项修正→修正前后局部对比。
底层机制：视觉同时承担模式打断、信息压缩与可信证明
可复用公式：[0-1秒模式打断]→[1-3秒关键信息]→[3秒后证据画面]
适用条件：首帧无声也能理解，且与口播同一主张
示例结构：失败成品红框标错→操作回放→逐项修正→修正前后局部对比。</x:v>
      </x:c>
      <x:c r="F16" s="39" t="str">
        <x:v>【失败复盘—避坑纠错】
拆解逻辑：[已尝试但失败的进阶用户]＋[愿意学习方法]，例：角色总崩、分镜不连贯的AI漫剧创作者。
底层机制：角色决定熟悉语言，任务阶段决定痛点强度，意图决定CTA
可复用公式：[职业/身份]＋[当前阶段]＋[高频任务]＋[主要阻碍]＋[行动意图]
适用条件：可从同一句话筛掉非目标人群
示例结构：[已尝试但失败的进阶用户]＋[愿意学习方法]，例：角色总崩、分镜不连贯的AI漫剧创作者。</x:v>
      </x:c>
      <x:c r="G16" s="39" t="str">
        <x:v>【失败复盘—避坑纠错】
拆解逻辑：失败原因是否准确；修正步骤是否可复制；产品是否有控制项；复杂案例是否适用。
底层机制：用户购买的是风险下降与结果确定性
可复用公式：能否[完成任务]？质量[标准]？成本/耗时[阈值]？是否[可靠/安全]？边界[什么]？
适用条件：至少覆盖结果、成本、可信度中的两项
示例结构：失败原因是否准确；修正步骤是否可复制；产品是否有控制项；复杂案例是否适用。</x:v>
      </x:c>
      <x:c r="H16" s="39" t="str">
        <x:v>【失败复盘—避坑纠错】
拆解逻辑：提供检查清单/纠错模板；主行动是保存并复做，不强行用折扣打断教学价值。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示例结构：提供检查清单/纠错模板；主行动是保存并复做，不强行用折扣打断教学价值。</x:v>
      </x:c>
      <x:c r="I16" s="39" t="str">
        <x:v>【失败复盘—避坑纠错】
拆解逻辑：用户提交失败案例，系统/专家定位[原因1/2/3]并现场重做得到更好结果。
底层机制：场景把功能翻译成用户可想象的使用时刻
可复用公式：[谁]在[何时/何地/触发]为了[目标]，用[功能链]完成[结果]
适用条件：必须包含人物、触发、任务、结果四要素
示例结构：用户提交失败案例，系统/专家定位[原因1/2/3]并现场重做得到更好结果。</x:v>
      </x:c>
      <x:c r="J16" s="39" t="str">
        <x:v>【失败复盘—避坑纠错】
拆解逻辑：00:00-00:03 展示失败成品；00:03-00:08 点出3个原因；00:08-00:28 逐步修正；00:28-00:36 前后对比；00:36-00:45 检查清单CTA。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展示失败成品；00:03-00:08 点出3个原因；00:08-00:28 逐步修正；00:28-00:36 前后对比；00:36-00:45 检查清单CTA。</x:v>
      </x:c>
      <x:c r="K16" s="39" t="str">
        <x:v>【失败复盘—避坑纠错】
拆解逻辑：失败结果 → 原因诊断 → 分步纠错 → 重做演示 → 前后对比 → 清单CTA
底层机制：每一段只解决一个心理障碍：注意→相关→相信→想要→行动
可复用公式：失败结果 → 原因诊断 → 分步纠错 → 重做演示 → 前后对比 → 清单CTA
适用条件：删除任一环节后仍应保持因果连续；CTA不得突然出现
示例结构：失败结果 → 原因诊断 → 分步纠错 → 重做演示 → 前后对比 → 清单CTA</x:v>
      </x:c>
      <x:c r="L16" s="39" t="str">
        <x:v>【失败复盘—避坑纠错】
拆解逻辑：角色崩坏、画面跳变、提示词无效、反复抽卡、返工、找不到错误原因。
底层机制：动作词可拍、后果词可量化、情绪词可共鸣
可复用公式：[具体低效动作]＋[直接损失]＋[主观感受]；用顿号分隔6-10个词
适用条件：禁止只有‘效率低/体验差’等泛词
示例结构：角色崩坏、画面跳变、提示词无效、反复抽卡、返工、找不到错误原因。</x:v>
      </x:c>
      <x:c r="M16" s="39" t="str">
        <x:v>【版本继承】
拆解逻辑：只换字幕/配乐可继承，换主体演示需重判
底层机制：标签绑定叙事证据
可复用公式：主体证据不变→继承；否则重标
适用条件：素材版本管理
示例结构：换CTA→继承；换功能段→重标</x:v>
      </x:c>
      <x:c r="N16" s="39" t="str">
        <x:v>【云手机】
拆解逻辑：用“云手机”描述具体内容形态/业务环境
底层机制：二级标签提高检索精度，不重复一级标签
可复用公式：若画面/口播存在可见的云手机场景证据→云手机
适用条件：证据不足留空；最多1个主二级标签
示例结构：二级标签=云手机</x:v>
      </x:c>
      <x:c r="O16" s="39" t="str">
        <x:v>【失败复盘—避坑纠错】
拆解逻辑：为什么你用AI做[任务]总是[失败结果]？通常不是工具不行，是这[数字]步错了。
底层机制：用自我相关性＋信息缺口/损失规避/结果承诺阻止划走
可复用公式：[人群点名/反问/结果/冲突]＋[具体对象]＋[未解释差异]
适用条件：3秒内≤2个信息点；画面能立刻支撑口播
示例结构：为什么你用AI做[任务]总是[失败结果]？通常不是工具不行，是这[数字]步错了。</x:v>
      </x:c>
      <x:c r="P16" s="39" t="str">
        <x:v>【合并禁则】
拆解逻辑：不同CID即使内容相同也不覆盖
底层机制：投放结果需要独立归因
可复用公式：同内容→用创意族关联；CID分别保留
适用条件：重复投放
示例结构：cidA/cidB同属M001</x:v>
      </x:c>
      <x:c r="Q16" s="39" t="str">
        <x:v>【多场景裁决】
拆解逻辑：多个任务出现时选与最终交付物直接相连者
底层机制：场景标签服务主使用情境
可复用公式：场景一级=[最终结果前最后一条核心任务链]
适用条件：产品总览
示例结构：最终交付PPT→综合功能或PPT相关主标签</x:v>
      </x:c>
      <x:c r="R16" s="39" t="str">
        <x:v>【证据不足留空】
拆解逻辑：无法从画面/原话确认业务环境时不强标
底层机制：缺失比错误标签更利于检索
可复用公式：IF([时间码证据=0],空值,选择原表9类)
适用条件：泛功能素材
示例结构：只展示通用对话框→留空</x:v>
      </x:c>
      <x:c r="S16" s="39" t="str">
        <x:v>【失败复盘—避坑纠错】
拆解逻辑：导入失败案例→检测问题→锁定角色/镜头/风格参数→局部重做→版本对比。
底层机制：功能必须写成可演示动作而非营销形容词
可复用公式：[输入对象]→[系统动作]→[中间状态]→[输出物]→[限制/人工节点]
适用条件：每个功能点都能对应一个UI/动作镜头
示例结构：导入失败案例→检测问题→锁定角色/镜头/风格参数→局部重做→版本对比。</x:v>
      </x:c>
      <x:c r="T16" s="40" t="str">
        <x:v>【失败复盘—避坑纠错】
拆解逻辑：同一输入、同一评价维度展示修改前后；不可只挑不同案例证明‘修复有效’。
底层机制：时间码事实让结论可审计，防止AI把推断写成产品能力
可复用公式：[时间码]＋[可见画面/可听原话]＋[支持的结论]＋[不确定性]
适用条件：事实/推断/待核验分开；不为新脚本伪造证据
示例结构：同一输入、同一评价维度展示修改前后；不可只挑不同案例证明‘修复有效’。</x:v>
      </x:c>
    </x:row>
    <x:row r="17" ht="220" customHeight="1">
      <x:c r="A17" s="41" t="str">
        <x:v>【链接质检】
拆解逻辑：批量检查空值、重复、协议、域名和可访问性
底层机制：主键质量是后续标签/数据回流基础
可复用公式：PASS=非空 AND 唯一 AND https AND 域名合法 AND 可访问
适用条件：批量入库前
示例结构：FAIL：与第28行重复</x:v>
      </x:c>
      <x:c r="B17" s="42" t="str">
        <x:v>【分类质检】
拆解逻辑：检查直播/商品与四象限是否互斥
底层机制：互斥分类才能统计套路胜率
可复用公式：每条素材COUNT([六类命中])=1，否则待复核
适用条件：入库质检
示例结构：同时命中直播与商品→按主来源复核</x:v>
      </x:c>
      <x:c r="C17" s="42" t="str">
        <x:v>【类型质检】
拆解逻辑：类型必须能引用至少两处内容证据
底层机制：避免凭标题或标签猜测
可复用公式：主类型=[结论]；证据=[时间码1,时间码2]
适用条件：最终入库
示例结构：00:08与00:21连续演示→品宣</x:v>
      </x:c>
      <x:c r="D17" s="42" t="str">
        <x:v>【权威实证—信任迁移】
拆解逻辑：权威/客户钩子 → 测试条件 → 实测流程 → 结果评分 → 局限声明 → 复现CTA
底层机制：用单一主张制造记忆点并由证据闭环
可复用公式：[人群/痛点]＋[差异化能力]＋[可见证据]＋[具体结果]；只保留一个主亮点
适用条件：亮点必须能在15字内复述且有画面证据
示例结构：权威/客户钩子 → 测试条件 → 实测流程 → 结果评分 → 局限声明 → 复现CTA</x:v>
      </x:c>
      <x:c r="E17" s="42" t="str">
        <x:v>【权威实证—信任迁移】
拆解逻辑：测试条件卡→专业角色操作→评分表/成果细节→普通用户复现；来源标识始终可见。
底层机制：视觉同时承担模式打断、信息压缩与可信证明
可复用公式：[0-1秒模式打断]→[1-3秒关键信息]→[3秒后证据画面]
适用条件：首帧无声也能理解，且与口播同一主张
示例结构：测试条件卡→专业角色操作→评分表/成果细节→普通用户复现；来源标识始终可见。</x:v>
      </x:c>
      <x:c r="F17" s="42" t="str">
        <x:v>【权威实证—信任迁移】
拆解逻辑：[高风险决策/专业用户]＋[重视可信度]，例：评估代码质量和发布流程的开发者。
底层机制：角色决定熟悉语言，任务阶段决定痛点强度，意图决定CTA
可复用公式：[职业/身份]＋[当前阶段]＋[高频任务]＋[主要阻碍]＋[行动意图]
适用条件：可从同一句话筛掉非目标人群
示例结构：[高风险决策/专业用户]＋[重视可信度]，例：评估代码质量和发布流程的开发者。</x:v>
      </x:c>
      <x:c r="G17" s="42" t="str">
        <x:v>【权威实证—信任迁移】
拆解逻辑：背书是否真实；测试条件是否公平；结论能否复现；数据来源与利益关系。
底层机制：用户购买的是风险下降与结果确定性
可复用公式：能否[完成任务]？质量[标准]？成本/耗时[阈值]？是否[可靠/安全]？边界[什么]？
适用条件：至少覆盖结果、成本、可信度中的两项
示例结构：背书是否真实；测试条件是否公平；结论能否复现；数据来源与利益关系。</x:v>
      </x:c>
      <x:c r="H17" s="42" t="str">
        <x:v>【权威实证—信任迁移】
拆解逻辑：邀请按同一测试集复现；提供模板/数据集/试用，避免只靠名人一句话促单。
底层机制：CTA在价值和信任建立后，把下一步摩擦降到最低
可复用公式：[价值回扣]＋[具体权益/价格]＋[真实期限或零风险]＋[唯一动作]
适用条件：一个素材只设一个主行动；无真实权益则用体验型CTA
示例结构：邀请按同一测试集复现；提供模板/数据集/试用，避免只靠名人一句话促单。</x:v>
      </x:c>
      <x:c r="I17" s="42" t="str">
        <x:v>【权威实证—信任迁移】
拆解逻辑：专业人士在公开条件下测试[功能]，展示评分依据与局限，用户可复制验证。
底层机制：场景把功能翻译成用户可想象的使用时刻
可复用公式：[谁]在[何时/何地/触发]为了[目标]，用[功能链]完成[结果]
适用条件：必须包含人物、触发、任务、结果四要素
示例结构：专业人士在公开条件下测试[功能]，展示评分依据与局限，用户可复制验证。</x:v>
      </x:c>
      <x:c r="J17" s="42" t="str">
        <x:v>【权威实证—信任迁移】
拆解逻辑：00:00-00:03 权威＋意外结果；00:03-00:08 展示测试条件；00:08-00:28 实测；00:28-00:36 评分/局限；00:36-00:45 复现CTA。
底层机制：时间码让口播、画面和信息密度可执行，并确保前3秒与结尾转化闭环
可复用公式：00:00-00:03[钩子]；00:03-00:08[问题/承诺]；00:08-00:28[证据]；00:28-00:38[结果]；00:38-00:45[CTA]
适用条件：30-60秒效果广告；每2-4秒发生一次信息/画面变化
示例结构：00:00-00:03 权威＋意外结果；00:03-00:08 展示测试条件；00:08-00:28 实测；00:28-00:36 评分/局限；00:36-00:45 复现CTA。</x:v>
      </x:c>
      <x:c r="K17" s="42" t="str">
        <x:v>【权威实证—信任迁移】
拆解逻辑：权威/客户钩子 → 测试条件 → 实测流程 → 结果评分 → 局限声明 → 复现CTA
底层机制：每一段只解决一个心理障碍：注意→相关→相信→想要→行动
可复用公式：权威/客户钩子 → 测试条件 → 实测流程 → 结果评分 → 局限声明 → 复现CTA
适用条件：删除任一环节后仍应保持因果连续；CTA不得突然出现
示例结构：权威/客户钩子 → 测试条件 → 实测流程 → 结果评分 → 局限声明 → 复现CTA</x:v>
      </x:c>
      <x:c r="L17" s="42" t="str">
        <x:v>【权威实证—信任迁移】
拆解逻辑：宣传不可信、代码不可用、测试不公平、结果不可复现、专业风险、决策成本高。
底层机制：动作词可拍、后果词可量化、情绪词可共鸣
可复用公式：[具体低效动作]＋[直接损失]＋[主观感受]；用顿号分隔6-10个词
适用条件：禁止只有‘效率低/体验差’等泛词
示例结构：宣传不可信、代码不可用、测试不公平、结果不可复现、专业风险、决策成本高。</x:v>
      </x:c>
      <x:c r="M17" s="42" t="str">
        <x:v>【标签质检】
拆解逻辑：一级标签必须属于原表9类且仅1个
底层机制：封闭词表保证统计一致
可复用公式：IF([值∈9类] AND [数量=1],PASS,FAIL)
适用条件：批量入库
示例结构：‘办公提效’不在词表→退回</x:v>
      </x:c>
      <x:c r="N17" s="42" t="str">
        <x:v>【二级标签质检】
拆解逻辑：二级标签必须来自原表15类并有场景证据
底层机制：封闭词表与证据门槛降低同义词泛滥
可复用公式：IF([值∈15类] AND [至少1处时间码证据],PASS,留空/复核)
适用条件：批量入库
示例结构：‘内容运营’改用自媒体或留空</x:v>
      </x:c>
      <x:c r="O17" s="42" t="str">
        <x:v>【权威实证—信任迁移】
拆解逻辑：我让[专业角色/真实客户]用同一标准测了[产品]，结果最意外的是[指标]。
底层机制：用自我相关性＋信息缺口/损失规避/结果承诺阻止划走
可复用公式：[人群点名/反问/结果/冲突]＋[具体对象]＋[未解释差异]
适用条件：3秒内≤2个信息点；画面能立刻支撑口播
示例结构：我让[专业角色/真实客户]用同一标准测了[产品]，结果最意外的是[指标]。</x:v>
      </x:c>
      <x:c r="P17" s="42" t="str">
        <x:v>【批量质检】
拆解逻辑：检查空值、格式、重复和链接不一致
底层机制：一次性阻断主键污染
可复用公式：PASS=有合法值 OR 合法占位；且不冲突
适用条件：导入前
示例结构：FAIL：CID重复且URL不同</x:v>
      </x:c>
      <x:c r="Q17" s="42" t="str">
        <x:v>【场景一级质检】
拆解逻辑：值必须属于原表10类且有时间码
底层机制：防止从营销口号推断场景
可复用公式：IF([值∈10类] AND [证据≥1],PASS,留空/复核)
适用条件：批量入库
示例结构：无画面证据→留空</x:v>
      </x:c>
      <x:c r="R17" s="42" t="str">
        <x:v>【场景二级质检】
拆解逻辑：值必须来自原表9类且与一级标签逻辑兼容
底层机制：层级一致才能形成可用知识库
可复用公式：IF([值∈9类] AND [一级/二级映射允许],PASS,复核)
适用条件：批量入库
示例结构：Excel任务＋AI漫剧→复核</x:v>
      </x:c>
      <x:c r="S17" s="42" t="str">
        <x:v>【权威实证—信任迁移】
拆解逻辑：统一需求→生成代码→运行测试→人工审查→修复→发布；展示测试用例和失败项。
底层机制：功能必须写成可演示动作而非营销形容词
可复用公式：[输入对象]→[系统动作]→[中间状态]→[输出物]→[限制/人工节点]
适用条件：每个功能点都能对应一个UI/动作镜头
示例结构：统一需求→生成代码→运行测试→人工审查→修复→发布；展示测试用例和失败项。</x:v>
      </x:c>
      <x:c r="T17" s="43" t="str">
        <x:v>【权威实证—信任迁移】
拆解逻辑：列出测试人身份、测试集、版本、日期、指标和限制；未授权背书/不可核验数字不得使用。
底层机制：时间码事实让结论可审计，防止AI把推断写成产品能力
可复用公式：[时间码]＋[可见画面/可听原话]＋[支持的结论]＋[不确定性]
适用条件：事实/推断/待核验分开；不为新脚本伪造证据
示例结构：列出测试人身份、测试集、版本、日期、指标和限制；未授权背书/不可核验数字不得使用。</x:v>
      </x:c>
    </x:row>
  </x:sheetData>
  <x:pageMargins left="0.7" right="0.7" top="0.75" bottom="0.75" header="0.3" footer="0.3"/>
  <x:tableParts count="1">
    <x:tablePart xmlns:r="http://schemas.openxmlformats.org/officeDocument/2006/relationships" r:id="Re87a00b6ca4b49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76" hidden="0" customWidth="1"/>
  </x:cols>
  <x:sheetData>
    <x:row r="1" ht="36" customHeight="1">
      <x:c r="A1" s="44" t="str">
        <x:v>爆款素材拆解｜全量分析概览</x:v>
      </x:c>
      <x:c r="B1" s="44"/>
      <x:c r="C1" s="44"/>
      <x:c r="D1" s="44"/>
      <x:c r="E1" s="44"/>
    </x:row>
    <x:row r="2">
      <x:c r="A2" s="48" t="str">
        <x:v>来源文件</x:v>
      </x:c>
      <x:c r="B2" s="48" t="str">
        <x:v>爆款素材拆解.xlsx</x:v>
      </x:c>
      <x:c r="C2" s="48"/>
      <x:c r="D2" s="48" t="str">
        <x:v>输出原则</x:v>
      </x:c>
      <x:c r="E2" s="48" t="str">
        <x:v>原列头不改名；一格一个可复用公式/模板</x:v>
      </x:c>
    </x:row>
    <x:row r="3">
      <x:c r="A3" s="48" t="str">
        <x:v>分析范围</x:v>
      </x:c>
      <x:c r="B3" s="48" t="str">
        <x:v>1个工作表；148条素材；20个原始字段；全量非空内容</x:v>
      </x:c>
      <x:c r="C3" s="48"/>
      <x:c r="D3" s="48" t="str">
        <x:v>关键约束</x:v>
      </x:c>
      <x:c r="E3" s="48" t="str">
        <x:v>新脚本不伪造素材链接、CID或拆解证据；上线后回填</x:v>
      </x:c>
    </x:row>
    <x:row r="5">
      <x:c r="A5" s="52" t="str">
        <x:v>原始列头</x:v>
      </x:c>
      <x:c r="B5" s="52" t="str">
        <x:v>有效样本数</x:v>
      </x:c>
      <x:c r="C5" s="52" t="str">
        <x:v>覆盖率</x:v>
      </x:c>
      <x:c r="D5" s="52" t="str">
        <x:v>唯一内容数</x:v>
      </x:c>
      <x:c r="E5" s="52" t="str">
        <x:v>全量观察与填写标准</x:v>
      </x:c>
    </x:row>
    <x:row r="6" ht="52" customHeight="1">
      <x:c r="A6" s="66" t="str">
        <x:v>素材链接</x:v>
      </x:c>
      <x:c r="B6" s="66" t="n">
        <x:v>146</x:v>
      </x:c>
      <x:c r="C6" s="67" t="n">
        <x:f>B6/148</x:f>
        <x:v>0.9864864864864865</x:v>
      </x:c>
      <x:c r="D6" s="66" t="n">
        <x:v>137</x:v>
      </x:c>
      <x:c r="E6" s="66" t="str">
        <x:v>样本中既有标准URL也有ID。核心不是创意表达，而是可追溯、可访问、去参数后的唯一素材主键。</x:v>
      </x:c>
    </x:row>
    <x:row r="7" ht="52" customHeight="1">
      <x:c r="A7" s="68" t="str">
        <x:v>渠道分类</x:v>
      </x:c>
      <x:c r="B7" s="68" t="n">
        <x:v>148</x:v>
      </x:c>
      <x:c r="C7" s="69" t="n">
        <x:f>B7/148</x:f>
        <x:v>1</x:v>
      </x:c>
      <x:c r="D7" s="68" t="n">
        <x:v>6</x:v>
      </x:c>
      <x:c r="E7" s="68" t="str">
        <x:v>现有6类由来源形态与‘付费/次留’二维表现构成；必须先固定数据窗口和同渠道基准。</x:v>
      </x:c>
    </x:row>
    <x:row r="8" ht="52" customHeight="1">
      <x:c r="A8" s="68" t="str">
        <x:v>素材类型</x:v>
      </x:c>
      <x:c r="B8" s="68" t="n">
        <x:v>141</x:v>
      </x:c>
      <x:c r="C8" s="69" t="n">
        <x:f>B8/148</x:f>
        <x:v>0.9527027027027027</x:v>
      </x:c>
      <x:c r="D8" s="68" t="n">
        <x:v>3</x:v>
      </x:c>
      <x:c r="E8" s="68" t="str">
        <x:v>仅3类：痛点场景类、品宣功能类、利益感受类。按主要叙事重心而非是否出现功能判定。</x:v>
      </x:c>
    </x:row>
    <x:row r="9" ht="52" customHeight="1">
      <x:c r="A9" s="68" t="str">
        <x:v>素材亮点</x:v>
      </x:c>
      <x:c r="B9" s="68" t="n">
        <x:v>146</x:v>
      </x:c>
      <x:c r="C9" s="69" t="n">
        <x:f>B9/148</x:f>
        <x:v>0.9864864864864865</x:v>
      </x:c>
      <x:c r="D9" s="68" t="n">
        <x:v>146</x:v>
      </x:c>
      <x:c r="E9" s="68" t="str">
        <x:v>高频亮点来自：真实UI闭环、抽象能力具象化、前后对比、单点新奇、结果量化、促销承接。</x:v>
      </x:c>
    </x:row>
    <x:row r="10" ht="52" customHeight="1">
      <x:c r="A10" s="68" t="str">
        <x:v>视觉抓人点</x:v>
      </x:c>
      <x:c r="B10" s="68" t="n">
        <x:v>146</x:v>
      </x:c>
      <x:c r="C10" s="69" t="n">
        <x:f>B10/148</x:f>
        <x:v>0.9864864864864865</x:v>
      </x:c>
      <x:c r="D10" s="68" t="n">
        <x:v>146</x:v>
      </x:c>
      <x:c r="E10" s="68" t="str">
        <x:v>有效视觉通常同时完成模式打断、信息压缩和证据呈现；不能只写‘画面精美’。</x:v>
      </x:c>
    </x:row>
    <x:row r="11" ht="52" customHeight="1">
      <x:c r="A11" s="68" t="str">
        <x:v>用户群体</x:v>
      </x:c>
      <x:c r="B11" s="68" t="n">
        <x:v>146</x:v>
      </x:c>
      <x:c r="C11" s="69" t="n">
        <x:f>B11/148</x:f>
        <x:v>0.9864864864864865</x:v>
      </x:c>
      <x:c r="D11" s="68" t="n">
        <x:v>146</x:v>
      </x:c>
      <x:c r="E11" s="68" t="str">
        <x:v>高质量写法包含角色、阶段、任务、痛点与意图；年龄仅在确有差异时使用。</x:v>
      </x:c>
    </x:row>
    <x:row r="12" ht="52" customHeight="1">
      <x:c r="A12" s="68" t="str">
        <x:v>用户群体关注什么</x:v>
      </x:c>
      <x:c r="B12" s="68" t="n">
        <x:v>146</x:v>
      </x:c>
      <x:c r="C12" s="69" t="n">
        <x:f>B12/148</x:f>
        <x:v>0.9864864864864865</x:v>
      </x:c>
      <x:c r="D12" s="68" t="n">
        <x:v>146</x:v>
      </x:c>
      <x:c r="E12" s="68" t="str">
        <x:v>关注点以疑问句/决策条件表达：能不能、质量怎样、成本多少、是否可靠、边界是什么。</x:v>
      </x:c>
    </x:row>
    <x:row r="13" ht="52" customHeight="1">
      <x:c r="A13" s="68" t="str">
        <x:v>付费引导</x:v>
      </x:c>
      <x:c r="B13" s="68" t="n">
        <x:v>146</x:v>
      </x:c>
      <x:c r="C13" s="69" t="n">
        <x:f>B13/148</x:f>
        <x:v>0.9864864864864865</x:v>
      </x:c>
      <x:c r="D13" s="68" t="n">
        <x:v>146</x:v>
      </x:c>
      <x:c r="E13" s="68" t="str">
        <x:v>区分无付费、软CTA、功能解锁、价格折扣、直播权益、稀缺促单；记录唯一主行动。</x:v>
      </x:c>
    </x:row>
    <x:row r="14" ht="52" customHeight="1">
      <x:c r="A14" s="68" t="str">
        <x:v>核心场景</x:v>
      </x:c>
      <x:c r="B14" s="68" t="n">
        <x:v>140</x:v>
      </x:c>
      <x:c r="C14" s="69" t="n">
        <x:f>B14/148</x:f>
        <x:v>0.9459459459459459</x:v>
      </x:c>
      <x:c r="D14" s="68" t="n">
        <x:v>140</x:v>
      </x:c>
      <x:c r="E14" s="68" t="str">
        <x:v>场景不是功能清单，而是人物在触发条件下完成一条端到端任务链。</x:v>
      </x:c>
    </x:row>
    <x:row r="15" ht="52" customHeight="1">
      <x:c r="A15" s="68" t="str">
        <x:v>逐字脚本</x:v>
      </x:c>
      <x:c r="B15" s="68" t="n">
        <x:v>140</x:v>
      </x:c>
      <x:c r="C15" s="69" t="n">
        <x:f>B15/148</x:f>
        <x:v>0.9459459459459459</x:v>
      </x:c>
      <x:c r="D15" s="68" t="n">
        <x:v>140</x:v>
      </x:c>
      <x:c r="E15" s="68" t="str">
        <x:v>应同时记录时间码、口播、字幕/画面与动作证据；生成时控制信息节奏和镜头密度。</x:v>
      </x:c>
    </x:row>
    <x:row r="16" ht="52" customHeight="1">
      <x:c r="A16" s="68" t="str">
        <x:v>结构公式</x:v>
      </x:c>
      <x:c r="B16" s="68" t="n">
        <x:v>140</x:v>
      </x:c>
      <x:c r="C16" s="69" t="n">
        <x:f>B16/148</x:f>
        <x:v>0.9459459459459459</x:v>
      </x:c>
      <x:c r="D16" s="68" t="n">
        <x:v>140</x:v>
      </x:c>
      <x:c r="E16" s="68" t="str">
        <x:v>结构要写因果顺序而非段落名堆叠：钩子为何成立、证据如何承接、CTA为何此刻出现。</x:v>
      </x:c>
    </x:row>
    <x:row r="17" ht="52" customHeight="1">
      <x:c r="A17" s="68" t="str">
        <x:v>核心痛点词</x:v>
      </x:c>
      <x:c r="B17" s="68" t="n">
        <x:v>140</x:v>
      </x:c>
      <x:c r="C17" s="69" t="n">
        <x:f>B17/148</x:f>
        <x:v>0.9459459459459459</x:v>
      </x:c>
      <x:c r="D17" s="68" t="n">
        <x:v>140</x:v>
      </x:c>
      <x:c r="E17" s="68" t="str">
        <x:v>使用动作痛点＋后果痛点＋情绪痛点的组合；避免‘效率低’这类无法拍摄的空词。</x:v>
      </x:c>
    </x:row>
    <x:row r="18" ht="52" customHeight="1">
      <x:c r="A18" s="68" t="str">
        <x:v>素材一级标签</x:v>
      </x:c>
      <x:c r="B18" s="68" t="n">
        <x:v>119</x:v>
      </x:c>
      <x:c r="C18" s="69" t="n">
        <x:f>B18/148</x:f>
        <x:v>0.8040540540540541</x:v>
      </x:c>
      <x:c r="D18" s="68" t="n">
        <x:v>9</x:v>
      </x:c>
      <x:c r="E18" s="68" t="str">
        <x:v>使用原表9个一级标签；按主要任务对象判定，一个素材只保留一个主标签。</x:v>
      </x:c>
    </x:row>
    <x:row r="19" ht="52" customHeight="1">
      <x:c r="A19" s="68" t="str">
        <x:v>素材二级标签</x:v>
      </x:c>
      <x:c r="B19" s="68" t="n">
        <x:v>82</x:v>
      </x:c>
      <x:c r="C19" s="69" t="n">
        <x:f>B19/148</x:f>
        <x:v>0.5540540540540541</x:v>
      </x:c>
      <x:c r="D19" s="68" t="n">
        <x:v>15</x:v>
      </x:c>
      <x:c r="E19" s="68" t="str">
        <x:v>使用原表15个二级标签；补充场景/内容形态，不重复一级标签含义。</x:v>
      </x:c>
    </x:row>
    <x:row r="20" ht="52" customHeight="1">
      <x:c r="A20" s="68" t="str">
        <x:v>前三秒抓人钩子</x:v>
      </x:c>
      <x:c r="B20" s="68" t="n">
        <x:v>140</x:v>
      </x:c>
      <x:c r="C20" s="69" t="n">
        <x:f>B20/148</x:f>
        <x:v>0.9459459459459459</x:v>
      </x:c>
      <x:c r="D20" s="68" t="n">
        <x:v>140</x:v>
      </x:c>
      <x:c r="E20" s="68" t="str">
        <x:v>前三秒需包含人群筛选、信息缺口或明确收益，并且能被画面立即支撑。</x:v>
      </x:c>
    </x:row>
    <x:row r="21" ht="52" customHeight="1">
      <x:c r="A21" s="68" t="str">
        <x:v>素材cid</x:v>
      </x:c>
      <x:c r="B21" s="68" t="n">
        <x:v>94</x:v>
      </x:c>
      <x:c r="C21" s="69" t="n">
        <x:f>B21/148</x:f>
        <x:v>0.6351351351351351</x:v>
      </x:c>
      <x:c r="D21" s="68" t="n">
        <x:v>89</x:v>
      </x:c>
      <x:c r="E21" s="68" t="str">
        <x:v>平台唯一ID；只记录真实值，不生成或猜测。新脚本统一填‘待上线生成’。</x:v>
      </x:c>
    </x:row>
    <x:row r="22" ht="52" customHeight="1">
      <x:c r="A22" s="68" t="str">
        <x:v>素材场景一级标签</x:v>
      </x:c>
      <x:c r="B22" s="68" t="n">
        <x:v>52</x:v>
      </x:c>
      <x:c r="C22" s="69" t="n">
        <x:f>B22/148</x:f>
        <x:v>0.35135135135135137</x:v>
      </x:c>
      <x:c r="D22" s="68" t="n">
        <x:v>10</x:v>
      </x:c>
      <x:c r="E22" s="68" t="str">
        <x:v>按画面中实际发生的任务判定；与素材一级标签可一致，但不能仅据口播推断。</x:v>
      </x:c>
    </x:row>
    <x:row r="23" ht="52" customHeight="1">
      <x:c r="A23" s="68" t="str">
        <x:v>素材场景二级标签</x:v>
      </x:c>
      <x:c r="B23" s="68" t="n">
        <x:v>18</x:v>
      </x:c>
      <x:c r="C23" s="69" t="n">
        <x:f>B23/148</x:f>
        <x:v>0.12162162162162163</x:v>
      </x:c>
      <x:c r="D23" s="68" t="n">
        <x:v>9</x:v>
      </x:c>
      <x:c r="E23" s="68" t="str">
        <x:v>按具体业务环境判定；证据不足时留空，避免强行细分。</x:v>
      </x:c>
    </x:row>
    <x:row r="24" ht="52" customHeight="1">
      <x:c r="A24" s="68" t="str">
        <x:v>具体功能点</x:v>
      </x:c>
      <x:c r="B24" s="68" t="n">
        <x:v>102</x:v>
      </x:c>
      <x:c r="C24" s="69" t="n">
        <x:f>B24/148</x:f>
        <x:v>0.6891891891891891</x:v>
      </x:c>
      <x:c r="D24" s="68" t="n">
        <x:v>102</x:v>
      </x:c>
      <x:c r="E24" s="68" t="str">
        <x:v>采用‘对象＋动作＋机制＋输出＋边界’写法；功能必须能在脚本中被演示。</x:v>
      </x:c>
    </x:row>
    <x:row r="25" ht="52" customHeight="1">
      <x:c r="A25" s="70" t="str">
        <x:v>拆解证据</x:v>
      </x:c>
      <x:c r="B25" s="70" t="n">
        <x:v>102</x:v>
      </x:c>
      <x:c r="C25" s="71" t="n">
        <x:f>B25/148</x:f>
        <x:v>0.6891891891891891</x:v>
      </x:c>
      <x:c r="D25" s="70" t="n">
        <x:v>102</x:v>
      </x:c>
      <x:c r="E25" s="70" t="str">
        <x:v>以时间码和可见/可听事实支撑每个结论；严格区分事实、推断和待核验。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44" t="str">
        <x:v>爆款拆解 → 新脚本生成 Master Prompt</x:v>
      </x:c>
      <x:c r="B1" s="44"/>
      <x:c r="C1" s="44"/>
      <x:c r="D1" s="44"/>
      <x:c r="E1" s="44"/>
      <x:c r="F1" s="44"/>
      <x:c r="G1" s="44"/>
      <x:c r="H1" s="44"/>
    </x:row>
    <x:row r="2" ht="34" customHeight="1">
      <x:c r="A2" s="74" t="str">
        <x:v>使用方法：从下方整段复制；把 {{变量}} 替换为真实信息，并粘贴8–20条同人群/同场景高质量样本。</x:v>
      </x:c>
      <x:c r="B2" s="74"/>
      <x:c r="C2" s="74"/>
      <x:c r="D2" s="74"/>
      <x:c r="E2" s="74"/>
      <x:c r="F2" s="74"/>
      <x:c r="G2" s="74"/>
      <x:c r="H2" s="74"/>
    </x:row>
    <x:row r="4" ht="34" customHeight="1">
      <x:c r="A4" s="92" t="str">
        <x:v>你是“效果广告创意总监＋短视频编导＋素材分析师”。你的目标不是仿写某条爆款，而是从爆款拆解样本中抽取可迁移机制，生成比样本更清晰、更可信、更可拍、更能转化的新脚本。
【任务输入】
品牌/产品：{{BRAND_PRODUCT}}
核心功能与真实能力边界：{{FEATURES_AND_LIMITS}}
目标人群：{{AUDIENCE}}
核心场景：{{SCENARIO}}
投放渠道：{{CHANNEL}}
广告目标：{{GOAL：点击/下载/进直播间/付费/留存}}
主推利益点：{{BENEFIT}}
可用证据：{{UI录屏/案例/数据/资质/用户证言}}
价格与权益：{{PRICE_OFFER；没有则写“无”}}
时长与比例：{{DURATION}}秒，{{ASPECT_RATIO}}
品牌语气：{{TONE}}
必须出现：{{MUST_HAVE}}
禁用表达/合规边界：{{PROHIBITED}}
参考爆款拆解样本：
{{REFERENCE_SAMPLES：优先粘贴8-20条高质量、同人群/同场景样本，字段沿用“素材链接…拆解证据”20列}}
可复用公式库：
{{FORMULA_LIBRARY：粘贴本工作簿“可复用公式库”中相关列/相关套路}}
【工作步骤——必须执行，但不要机械复述】
1. 样本清洗：识别重复素材、同源剪辑版、纯促销高峰、证据不足行；低质量样本只作反例，不参与主要归纳。
2. 模式抽取：按20个原列头提炼“钩子机制—人群—痛点—视觉—功能证据—结构—CTA”的因果链。区分稳定机制与偶然表述；不得复制参考样本的专有句式。
3. 策略分散：先产出至少12个候选，覆盖不少于6种不同套路（如痛点连击、反直觉结果、前后对比、真实UI闭环、量化ROI、人物故事、失败纠错等）；任意两个候选不能只换名词。
4. 证据约束：所有功能、数字、价格、稀缺性、背书必须来自“任务输入/可用证据”；没有证据就改写为可验证表达或明确标“待核验”。新脚本的素材链接、CID、拆解证据填“待上线生成/待拍摄回填”，禁止编造。
5. 可拍性约束：前三秒最多2个信息点；每2-4秒发生一次口播信息或画面变化；每个功能点必须有对应镜头；口播要像真人说话，少用抽象形容词。
6. 自我批判：用“冷漠刷视频用户、挑剔产品经理、合规审核员”三种视角找出跳失点、可信度漏洞、执行难点，重写后再评分。
7. 多目标选择：点击型优先钩子与相关性；付费型优先价值证据与CTA；留存型优先真实长期场景和能力边界。
【100分评分】
前三秒钩子18；人群/场景相关性12；利益清晰12；证据可信12；视觉可执行10；节奏8；差异化8；CTA8；渠道适配5；合规与真实性7。任何硬性事实不实、无法拍摄或合规不通过，直接淘汰，不以总分补偿。
【输出格式】
A. 先给“从样本学到的5条稳定机制”和“3条不应照搬的偶然因素”。
B. 输出12个候选策略表：候选ID｜套路｜一句话核心承诺｜前三秒钩子｜主要证据｜CTA｜总分｜主要风险。
C. 选出分数最高且套路不同的3条，分别输出完整20列，列头严格为：素材链接｜渠道分类｜素材类型｜素材亮点｜视觉抓人点｜用户群体｜用户群体关注什么｜付费引导｜核心场景｜逐字脚本｜结构公式｜核心痛点词｜素材一级标签｜素材二级标签｜前三秒抓人钩子｜素材cid｜素材场景一级标签｜素材场景二级标签｜具体功能点｜拆解证据。其中“逐字脚本”必须包含时间码、口播、字幕/画面、操作动作；“结构公式”用箭头表达因果顺序；“拆解证据”对新脚本写待拍摄证据清单，不写成既成事实。
D. 对冠军脚本再给：3个前三秒A/B钩子、2个CTA版本、逐镜头拍摄清单、所需素材/屏录清单、不可验证主张清单。
E. 最后用三位批判者各写1条最严重问题，并给出最终修订版。
现在开始。若关键输入缺失，先用“假设：……”明确列出，不要暗中补全。</x:v>
      </x:c>
      <x:c r="B4" s="93"/>
      <x:c r="C4" s="93"/>
      <x:c r="D4" s="93"/>
      <x:c r="E4" s="93"/>
      <x:c r="F4" s="93"/>
      <x:c r="G4" s="93"/>
      <x:c r="H4" s="94"/>
    </x:row>
    <x:row r="5" ht="34" customHeight="1">
      <x:c r="A5" s="95"/>
      <x:c r="B5" s="96"/>
      <x:c r="C5" s="96"/>
      <x:c r="D5" s="96"/>
      <x:c r="E5" s="96"/>
      <x:c r="F5" s="96"/>
      <x:c r="G5" s="96"/>
      <x:c r="H5" s="97"/>
    </x:row>
    <x:row r="6" ht="34" customHeight="1">
      <x:c r="A6" s="95"/>
      <x:c r="B6" s="96"/>
      <x:c r="C6" s="96"/>
      <x:c r="D6" s="96"/>
      <x:c r="E6" s="96"/>
      <x:c r="F6" s="96"/>
      <x:c r="G6" s="96"/>
      <x:c r="H6" s="97"/>
    </x:row>
    <x:row r="7" ht="34" customHeight="1">
      <x:c r="A7" s="95"/>
      <x:c r="B7" s="96"/>
      <x:c r="C7" s="96"/>
      <x:c r="D7" s="96"/>
      <x:c r="E7" s="96"/>
      <x:c r="F7" s="96"/>
      <x:c r="G7" s="96"/>
      <x:c r="H7" s="97"/>
    </x:row>
    <x:row r="8" ht="34" customHeight="1">
      <x:c r="A8" s="95"/>
      <x:c r="B8" s="96"/>
      <x:c r="C8" s="96"/>
      <x:c r="D8" s="96"/>
      <x:c r="E8" s="96"/>
      <x:c r="F8" s="96"/>
      <x:c r="G8" s="96"/>
      <x:c r="H8" s="97"/>
    </x:row>
    <x:row r="9" ht="34" customHeight="1">
      <x:c r="A9" s="95"/>
      <x:c r="B9" s="96"/>
      <x:c r="C9" s="96"/>
      <x:c r="D9" s="96"/>
      <x:c r="E9" s="96"/>
      <x:c r="F9" s="96"/>
      <x:c r="G9" s="96"/>
      <x:c r="H9" s="97"/>
    </x:row>
    <x:row r="10" ht="34" customHeight="1">
      <x:c r="A10" s="95"/>
      <x:c r="B10" s="96"/>
      <x:c r="C10" s="96"/>
      <x:c r="D10" s="96"/>
      <x:c r="E10" s="96"/>
      <x:c r="F10" s="96"/>
      <x:c r="G10" s="96"/>
      <x:c r="H10" s="97"/>
    </x:row>
    <x:row r="11" ht="34" customHeight="1">
      <x:c r="A11" s="95"/>
      <x:c r="B11" s="96"/>
      <x:c r="C11" s="96"/>
      <x:c r="D11" s="96"/>
      <x:c r="E11" s="96"/>
      <x:c r="F11" s="96"/>
      <x:c r="G11" s="96"/>
      <x:c r="H11" s="97"/>
    </x:row>
    <x:row r="12" ht="34" customHeight="1">
      <x:c r="A12" s="95"/>
      <x:c r="B12" s="96"/>
      <x:c r="C12" s="96"/>
      <x:c r="D12" s="96"/>
      <x:c r="E12" s="96"/>
      <x:c r="F12" s="96"/>
      <x:c r="G12" s="96"/>
      <x:c r="H12" s="97"/>
    </x:row>
    <x:row r="13" ht="34" customHeight="1">
      <x:c r="A13" s="95"/>
      <x:c r="B13" s="96"/>
      <x:c r="C13" s="96"/>
      <x:c r="D13" s="96"/>
      <x:c r="E13" s="96"/>
      <x:c r="F13" s="96"/>
      <x:c r="G13" s="96"/>
      <x:c r="H13" s="97"/>
    </x:row>
    <x:row r="14" ht="34" customHeight="1">
      <x:c r="A14" s="95"/>
      <x:c r="B14" s="96"/>
      <x:c r="C14" s="96"/>
      <x:c r="D14" s="96"/>
      <x:c r="E14" s="96"/>
      <x:c r="F14" s="96"/>
      <x:c r="G14" s="96"/>
      <x:c r="H14" s="97"/>
    </x:row>
    <x:row r="15" ht="34" customHeight="1">
      <x:c r="A15" s="95"/>
      <x:c r="B15" s="96"/>
      <x:c r="C15" s="96"/>
      <x:c r="D15" s="96"/>
      <x:c r="E15" s="96"/>
      <x:c r="F15" s="96"/>
      <x:c r="G15" s="96"/>
      <x:c r="H15" s="97"/>
    </x:row>
    <x:row r="16" ht="34" customHeight="1">
      <x:c r="A16" s="95"/>
      <x:c r="B16" s="96"/>
      <x:c r="C16" s="96"/>
      <x:c r="D16" s="96"/>
      <x:c r="E16" s="96"/>
      <x:c r="F16" s="96"/>
      <x:c r="G16" s="96"/>
      <x:c r="H16" s="97"/>
    </x:row>
    <x:row r="17" ht="34" customHeight="1">
      <x:c r="A17" s="95"/>
      <x:c r="B17" s="96"/>
      <x:c r="C17" s="96"/>
      <x:c r="D17" s="96"/>
      <x:c r="E17" s="96"/>
      <x:c r="F17" s="96"/>
      <x:c r="G17" s="96"/>
      <x:c r="H17" s="97"/>
    </x:row>
    <x:row r="18" ht="34" customHeight="1">
      <x:c r="A18" s="95"/>
      <x:c r="B18" s="96"/>
      <x:c r="C18" s="96"/>
      <x:c r="D18" s="96"/>
      <x:c r="E18" s="96"/>
      <x:c r="F18" s="96"/>
      <x:c r="G18" s="96"/>
      <x:c r="H18" s="97"/>
    </x:row>
    <x:row r="19" ht="34" customHeight="1">
      <x:c r="A19" s="95"/>
      <x:c r="B19" s="96"/>
      <x:c r="C19" s="96"/>
      <x:c r="D19" s="96"/>
      <x:c r="E19" s="96"/>
      <x:c r="F19" s="96"/>
      <x:c r="G19" s="96"/>
      <x:c r="H19" s="97"/>
    </x:row>
    <x:row r="20" ht="34" customHeight="1">
      <x:c r="A20" s="95"/>
      <x:c r="B20" s="96"/>
      <x:c r="C20" s="96"/>
      <x:c r="D20" s="96"/>
      <x:c r="E20" s="96"/>
      <x:c r="F20" s="96"/>
      <x:c r="G20" s="96"/>
      <x:c r="H20" s="97"/>
    </x:row>
    <x:row r="21" ht="34" customHeight="1">
      <x:c r="A21" s="95"/>
      <x:c r="B21" s="96"/>
      <x:c r="C21" s="96"/>
      <x:c r="D21" s="96"/>
      <x:c r="E21" s="96"/>
      <x:c r="F21" s="96"/>
      <x:c r="G21" s="96"/>
      <x:c r="H21" s="97"/>
    </x:row>
    <x:row r="22" ht="34" customHeight="1">
      <x:c r="A22" s="95"/>
      <x:c r="B22" s="96"/>
      <x:c r="C22" s="96"/>
      <x:c r="D22" s="96"/>
      <x:c r="E22" s="96"/>
      <x:c r="F22" s="96"/>
      <x:c r="G22" s="96"/>
      <x:c r="H22" s="97"/>
    </x:row>
    <x:row r="23" ht="34" customHeight="1">
      <x:c r="A23" s="95"/>
      <x:c r="B23" s="96"/>
      <x:c r="C23" s="96"/>
      <x:c r="D23" s="96"/>
      <x:c r="E23" s="96"/>
      <x:c r="F23" s="96"/>
      <x:c r="G23" s="96"/>
      <x:c r="H23" s="97"/>
    </x:row>
    <x:row r="24" ht="34" customHeight="1">
      <x:c r="A24" s="98"/>
      <x:c r="B24" s="99"/>
      <x:c r="C24" s="99"/>
      <x:c r="D24" s="99"/>
      <x:c r="E24" s="99"/>
      <x:c r="F24" s="99"/>
      <x:c r="G24" s="99"/>
      <x:c r="H24" s="100"/>
    </x:row>
  </x:sheetData>
  <x:mergeCells>
    <x:mergeCell ref="A1:H1"/>
    <x:mergeCell ref="A2:H2"/>
    <x:mergeCell ref="A4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60" hidden="0" customWidth="1"/>
    <x:col min="4" max="4" width="42" hidden="0" customWidth="1"/>
    <x:col min="5" max="5" width="42" hidden="0" customWidth="1"/>
  </x:cols>
  <x:sheetData>
    <x:row r="1">
      <x:c r="A1" s="2" t="str">
        <x:v>Prompt之外：提升AI脚本质量的完整闭环</x:v>
      </x:c>
      <x:c r="B1" s="2"/>
      <x:c r="C1" s="2"/>
      <x:c r="D1" s="2"/>
      <x:c r="E1" s="2"/>
    </x:row>
    <x:row r="3">
      <x:c r="A3" s="101" t="str">
        <x:v>环节</x:v>
      </x:c>
      <x:c r="B3" s="101" t="str">
        <x:v>方法</x:v>
      </x:c>
      <x:c r="C3" s="101" t="str">
        <x:v>怎么做</x:v>
      </x:c>
      <x:c r="D3" s="101" t="str">
        <x:v>验收标准</x:v>
      </x:c>
      <x:c r="E3" s="101" t="str">
        <x:v>常见坑</x:v>
      </x:c>
    </x:row>
    <x:row r="4" ht="58" customHeight="1">
      <x:c r="A4" s="66" t="str">
        <x:v>样本筛选</x:v>
      </x:c>
      <x:c r="B4" s="66" t="str">
        <x:v>只保留可归因、数据窗口一致的素材</x:v>
      </x:c>
      <x:c r="C4" s="66" t="str">
        <x:v>统一渠道、投放周期、预算量级和转化口径；最低曝光/转化量达标后再入库</x:v>
      </x:c>
      <x:c r="D4" s="66" t="str">
        <x:v>能解释‘为什么爆’，而非只看绝对播放</x:v>
      </x:c>
      <x:c r="E4" s="66" t="str">
        <x:v>把大促、达人背书带来的偶然峰值当普遍规律</x:v>
      </x:c>
    </x:row>
    <x:row r="5" ht="58" customHeight="1">
      <x:c r="A5" s="68" t="str">
        <x:v>分层抽样</x:v>
      </x:c>
      <x:c r="B5" s="68" t="str">
        <x:v>按人群×场景×渠道×目标分层</x:v>
      </x:c>
      <x:c r="C5" s="68" t="str">
        <x:v>每层保留头部、腰部、失败样本；推荐8-20条近邻few-shot</x:v>
      </x:c>
      <x:c r="D5" s="68" t="str">
        <x:v>模型能比较同条件下的差异</x:v>
      </x:c>
      <x:c r="E5" s="68" t="str">
        <x:v>只喂全站Top素材导致风格和人群失配</x:v>
      </x:c>
    </x:row>
    <x:row r="6" ht="58" customHeight="1">
      <x:c r="A6" s="68" t="str">
        <x:v>去重聚类</x:v>
      </x:c>
      <x:c r="B6" s="68" t="str">
        <x:v>把同源剪辑/换皮版本视为一个创意族</x:v>
      </x:c>
      <x:c r="C6" s="68" t="str">
        <x:v>按链接/CID、脚本相似度、首帧与结构聚类；族内仅留代表版和关键变体</x:v>
      </x:c>
      <x:c r="D6" s="68" t="str">
        <x:v>有效机制不被重复样本放大</x:v>
      </x:c>
      <x:c r="E6" s="68" t="str">
        <x:v>20条其实是同一脚本换字幕</x:v>
      </x:c>
    </x:row>
    <x:row r="7" ht="58" customHeight="1">
      <x:c r="A7" s="68" t="str">
        <x:v>反例样本</x:v>
      </x:c>
      <x:c r="B7" s="68" t="str">
        <x:v>加入付费/次留双低素材</x:v>
      </x:c>
      <x:c r="C7" s="68" t="str">
        <x:v>标明失败原因：钩子弱、证据断层、CTA突兀、场景不匹配等</x:v>
      </x:c>
      <x:c r="D7" s="68" t="str">
        <x:v>模型知道哪些模式需要回避</x:v>
      </x:c>
      <x:c r="E7" s="68" t="str">
        <x:v>只有正例，模型学不到边界</x:v>
      </x:c>
    </x:row>
    <x:row r="8" ht="58" customHeight="1">
      <x:c r="A8" s="68" t="str">
        <x:v>标签体系</x:v>
      </x:c>
      <x:c r="B8" s="68" t="str">
        <x:v>标签分为事实、策略、结果三层</x:v>
      </x:c>
      <x:c r="C8" s="68" t="str">
        <x:v>事实：人群/场景/功能；策略：钩子/结构/视觉/CTA；结果：付费/次留/成本</x:v>
      </x:c>
      <x:c r="D8" s="68" t="str">
        <x:v>标签互斥处有明确判定规则</x:v>
      </x:c>
      <x:c r="E8" s="68" t="str">
        <x:v>标签同义词泛滥、一个字段塞多个维度</x:v>
      </x:c>
    </x:row>
    <x:row r="9" ht="58" customHeight="1">
      <x:c r="A9" s="68" t="str">
        <x:v>证据绑定</x:v>
      </x:c>
      <x:c r="B9" s="68" t="str">
        <x:v>每个分析结论绑定时间码证据</x:v>
      </x:c>
      <x:c r="C9" s="68" t="str">
        <x:v>用‘时间码＋画面/原话＋支持结论＋不确定性’格式</x:v>
      </x:c>
      <x:c r="D9" s="68" t="str">
        <x:v>能从结论反查到视频片段</x:v>
      </x:c>
      <x:c r="E9" s="68" t="str">
        <x:v>AI根据常识补写未展示功能</x:v>
      </x:c>
    </x:row>
    <x:row r="10" ht="58" customHeight="1">
      <x:c r="A10" s="68" t="str">
        <x:v>检索策略</x:v>
      </x:c>
      <x:c r="B10" s="68" t="str">
        <x:v>先检索近邻，再让模型归纳</x:v>
      </x:c>
      <x:c r="C10" s="68" t="str">
        <x:v>优先同人群/同核心场景/同目标，其次同功能；不要把全部样本一次性塞入</x:v>
      </x:c>
      <x:c r="D10" s="68" t="str">
        <x:v>few-shot相关性高、上下文噪声低</x:v>
      </x:c>
      <x:c r="E10" s="68" t="str">
        <x:v>知识库只做关键词命中，返回无关爆款</x:v>
      </x:c>
    </x:row>
    <x:row r="11" ht="58" customHeight="1">
      <x:c r="A11" s="68" t="str">
        <x:v>强约束输入</x:v>
      </x:c>
      <x:c r="B11" s="68" t="str">
        <x:v>把真实能力、证据、价格、禁用词写成结构化输入</x:v>
      </x:c>
      <x:c r="C11" s="68" t="str">
        <x:v>缺失项显式写‘无/待核验’；给时长、比例、镜头资源与唯一CTA</x:v>
      </x:c>
      <x:c r="D11" s="68" t="str">
        <x:v>脚本可拍且不产生虚假承诺</x:v>
      </x:c>
      <x:c r="E11" s="68" t="str">
        <x:v>只给一句‘写个爆款脚本’</x:v>
      </x:c>
    </x:row>
    <x:row r="12" ht="58" customHeight="1">
      <x:c r="A12" s="68" t="str">
        <x:v>多候选</x:v>
      </x:c>
      <x:c r="B12" s="68" t="str">
        <x:v>先广后深，不让模型第一稿即定稿</x:v>
      </x:c>
      <x:c r="C12" s="68" t="str">
        <x:v>至少12个策略候选、6种机制；再选3条写完整脚本</x:v>
      </x:c>
      <x:c r="D12" s="68" t="str">
        <x:v>候选之间结构差异明显</x:v>
      </x:c>
      <x:c r="E12" s="68" t="str">
        <x:v>只换人群名词或产品名</x:v>
      </x:c>
    </x:row>
    <x:row r="13" ht="58" customHeight="1">
      <x:c r="A13" s="68" t="str">
        <x:v>自我批判</x:v>
      </x:c>
      <x:c r="B13" s="68" t="str">
        <x:v>三种角色攻击脚本</x:v>
      </x:c>
      <x:c r="C13" s="68" t="str">
        <x:v>刷视频用户找无聊点；产品经理找功能漏洞；审核员找合规问题</x:v>
      </x:c>
      <x:c r="D13" s="68" t="str">
        <x:v>每个严重问题都被重写解决</x:v>
      </x:c>
      <x:c r="E13" s="68" t="str">
        <x:v>让模型泛泛说‘可以更生动’</x:v>
      </x:c>
    </x:row>
    <x:row r="14" ht="58" customHeight="1">
      <x:c r="A14" s="68" t="str">
        <x:v>评分器</x:v>
      </x:c>
      <x:c r="B14" s="68" t="str">
        <x:v>分数用于排序，不替代硬门槛</x:v>
      </x:c>
      <x:c r="C14" s="68" t="str">
        <x:v>按本工作簿评分器打1-5分；事实不实/不可拍/合规失败直接淘汰</x:v>
      </x:c>
      <x:c r="D14" s="68" t="str">
        <x:v>高分脚本同时通过质量门</x:v>
      </x:c>
      <x:c r="E14" s="68" t="str">
        <x:v>总分掩盖致命风险</x:v>
      </x:c>
    </x:row>
    <x:row r="15" ht="58" customHeight="1">
      <x:c r="A15" s="68" t="str">
        <x:v>两两对比</x:v>
      </x:c>
      <x:c r="B15" s="68" t="str">
        <x:v>用Pairwise而非只看绝对分</x:v>
      </x:c>
      <x:c r="C15" s="68" t="str">
        <x:v>同一人群下逐对问：哪条更相关、更可信、更想行动，必须引用具体句子</x:v>
      </x:c>
      <x:c r="D15" s="68" t="str">
        <x:v>冠军在多轮比较中稳定胜出</x:v>
      </x:c>
      <x:c r="E15" s="68" t="str">
        <x:v>评分尺度漂移导致虚高</x:v>
      </x:c>
    </x:row>
    <x:row r="16" ht="58" customHeight="1">
      <x:c r="A16" s="68" t="str">
        <x:v>人工终审</x:v>
      </x:c>
      <x:c r="B16" s="68" t="str">
        <x:v>创意、产品、投放、合规四方最小评审</x:v>
      </x:c>
      <x:c r="C16" s="68" t="str">
        <x:v>每人只对自己最专业的门槛负责，避免多人同时改文案</x:v>
      </x:c>
      <x:c r="D16" s="68" t="str">
        <x:v>责任清晰、反馈可执行</x:v>
      </x:c>
      <x:c r="E16" s="68" t="str">
        <x:v>反馈变成个人审美投票</x:v>
      </x:c>
    </x:row>
    <x:row r="17" ht="58" customHeight="1">
      <x:c r="A17" s="68" t="str">
        <x:v>A/B设计</x:v>
      </x:c>
      <x:c r="B17" s="68" t="str">
        <x:v>一次只改变一个主要变量</x:v>
      </x:c>
      <x:c r="C17" s="68" t="str">
        <x:v>优先测：首帧/钩子→证据顺序→CTA；其余镜头、预算、人群尽量一致</x:v>
      </x:c>
      <x:c r="D17" s="68" t="str">
        <x:v>结果可归因到单变量</x:v>
      </x:c>
      <x:c r="E17" s="68" t="str">
        <x:v>同时换钩子、时长、优惠和人群</x:v>
      </x:c>
    </x:row>
    <x:row r="18" ht="58" customHeight="1">
      <x:c r="A18" s="68" t="str">
        <x:v>测试样本量</x:v>
      </x:c>
      <x:c r="B18" s="68" t="str">
        <x:v>预先定义最小曝光/转化与停止规则</x:v>
      </x:c>
      <x:c r="C18" s="68" t="str">
        <x:v>未达样本量不下结论；显著差异才放量；平局进入下一轮</x:v>
      </x:c>
      <x:c r="D18" s="68" t="str">
        <x:v>避免早停和偶然波动</x:v>
      </x:c>
      <x:c r="E18" s="68" t="str">
        <x:v>跑几百曝光就宣布冠军</x:v>
      </x:c>
    </x:row>
    <x:row r="19" ht="58" customHeight="1">
      <x:c r="A19" s="68" t="str">
        <x:v>数据回流</x:v>
      </x:c>
      <x:c r="B19" s="68" t="str">
        <x:v>把结果写回创意族和公式标签</x:v>
      </x:c>
      <x:c r="C19" s="68" t="str">
        <x:v>记录曝光、3秒留存、完播、CTR、CVR、付费、次留、成本、版本和日期</x:v>
      </x:c>
      <x:c r="D19" s="68" t="str">
        <x:v>能按套路/人群/场景复盘</x:v>
      </x:c>
      <x:c r="E19" s="68" t="str">
        <x:v>只记录播放量，无法连接商业结果</x:v>
      </x:c>
    </x:row>
    <x:row r="20" ht="58" customHeight="1">
      <x:c r="A20" s="68" t="str">
        <x:v>分阶段归因</x:v>
      </x:c>
      <x:c r="B20" s="68" t="str">
        <x:v>不同指标判断不同环节</x:v>
      </x:c>
      <x:c r="C20" s="68" t="str">
        <x:v>3秒看钩子；完播看结构节奏；CTR看利益/CTA；CVR看承诺匹配；次留看真实长期价值</x:v>
      </x:c>
      <x:c r="D20" s="68" t="str">
        <x:v>问题定位到具体脚本环节</x:v>
      </x:c>
      <x:c r="E20" s="68" t="str">
        <x:v>用一个ROI否定整条素材</x:v>
      </x:c>
    </x:row>
    <x:row r="21" ht="58" customHeight="1">
      <x:c r="A21" s="68" t="str">
        <x:v>持续迭代</x:v>
      </x:c>
      <x:c r="B21" s="68" t="str">
        <x:v>保留冠军结构，局部探索</x:v>
      </x:c>
      <x:c r="C21" s="68" t="str">
        <x:v>70%预算复用已验证机制，20%邻近变体，10%全新机制；按周更新知识库</x:v>
      </x:c>
      <x:c r="D21" s="68" t="str">
        <x:v>既稳定产出又防止创意疲劳</x:v>
      </x:c>
      <x:c r="E21" s="68" t="str">
        <x:v>每轮完全推翻或永远复制冠军</x:v>
      </x:c>
    </x:row>
    <x:row r="22" ht="58" customHeight="1">
      <x:c r="A22" s="68" t="str">
        <x:v>时间衰减</x:v>
      </x:c>
      <x:c r="B22" s="68" t="str">
        <x:v>旧爆款权重随平台/产品变化下降</x:v>
      </x:c>
      <x:c r="C22" s="68" t="str">
        <x:v>记录版本和发布日期；功能升级、规则变化、热点过期后降权</x:v>
      </x:c>
      <x:c r="D22" s="68" t="str">
        <x:v>知识库反映当前真实能力</x:v>
      </x:c>
      <x:c r="E22" s="68" t="str">
        <x:v>多年旧素材仍被等权召回</x:v>
      </x:c>
    </x:row>
    <x:row r="23" ht="58" customHeight="1">
      <x:c r="A23" s="70" t="str">
        <x:v>错误词典</x:v>
      </x:c>
      <x:c r="B23" s="70" t="str">
        <x:v>把失败反馈沉淀为可检索规则</x:v>
      </x:c>
      <x:c r="C23" s="70" t="str">
        <x:v>例如‘钩子与人群错配/证据不够/口播不自然/镜头不可拍/CTA多重’</x:v>
      </x:c>
      <x:c r="D23" s="70" t="str">
        <x:v>同类错误复发率下降</x:v>
      </x:c>
      <x:c r="E23" s="70" t="str">
        <x:v>只改稿，不记录为什么错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" t="str">
        <x:v>AI脚本评分器｜先过硬门槛，再按100分排序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50" t="str">
        <x:v>评分项</x:v>
      </x:c>
      <x:c r="B3" s="50" t="str">
        <x:v>权重</x:v>
      </x:c>
      <x:c r="C3" s="50" t="str">
        <x:v>1/3/5分锚点</x:v>
      </x:c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 ht="48" customHeight="1">
      <x:c r="A4" s="66" t="str">
        <x:v>前三秒钩子</x:v>
      </x:c>
      <x:c r="B4" s="66" t="n">
        <x:v>18</x:v>
      </x:c>
      <x:c r="C4" s="66" t="str">
        <x:v>1=泛泛开场；3=人群/利益明确；5=强相关＋信息缺口＋画面支撑</x:v>
      </x:c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</x:row>
    <x:row r="5" ht="48" customHeight="1">
      <x:c r="A5" s="68" t="str">
        <x:v>人群/场景相关性</x:v>
      </x:c>
      <x:c r="B5" s="68" t="n">
        <x:v>12</x:v>
      </x:c>
      <x:c r="C5" s="68" t="str">
        <x:v>1=谁都能用；3=角色清楚；5=角色＋触发＋任务＋损失高度具体</x:v>
      </x:c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</x:row>
    <x:row r="6" ht="48" customHeight="1">
      <x:c r="A6" s="68" t="str">
        <x:v>利益清晰</x:v>
      </x:c>
      <x:c r="B6" s="68" t="n">
        <x:v>12</x:v>
      </x:c>
      <x:c r="C6" s="68" t="str">
        <x:v>1=形容词；3=结果清楚；5=结果可量化且与痛点直接对应</x:v>
      </x:c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</x:row>
    <x:row r="7" ht="48" customHeight="1">
      <x:c r="A7" s="68" t="str">
        <x:v>证据可信</x:v>
      </x:c>
      <x:c r="B7" s="68" t="n">
        <x:v>12</x:v>
      </x:c>
      <x:c r="C7" s="68" t="str">
        <x:v>1=口号；3=有界面/案例；5=完整输入—过程—输出且边界明确</x:v>
      </x:c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</x:row>
    <x:row r="8" ht="48" customHeight="1">
      <x:c r="A8" s="68" t="str">
        <x:v>视觉可执行</x:v>
      </x:c>
      <x:c r="B8" s="68" t="n">
        <x:v>10</x:v>
      </x:c>
      <x:c r="C8" s="68" t="str">
        <x:v>1=无法拍；3=镜头基本明确；5=每个主张有对应镜头且资源可得</x:v>
      </x:c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</x:row>
    <x:row r="9" ht="48" customHeight="1">
      <x:c r="A9" s="68" t="str">
        <x:v>信息节奏</x:v>
      </x:c>
      <x:c r="B9" s="68" t="n">
        <x:v>8</x:v>
      </x:c>
      <x:c r="C9" s="68" t="str">
        <x:v>1=拖沓/堆词；3=段落清楚；5=每2-4秒有变化且因果连续</x:v>
      </x:c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</x:row>
    <x:row r="10" ht="48" customHeight="1">
      <x:c r="A10" s="68" t="str">
        <x:v>差异化</x:v>
      </x:c>
      <x:c r="B10" s="68" t="n">
        <x:v>8</x:v>
      </x:c>
      <x:c r="C10" s="68" t="str">
        <x:v>1=行业套话；3=有单点差异；5=钩子、证据和场景共同形成独特记忆</x:v>
      </x:c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</x:row>
    <x:row r="11" ht="48" customHeight="1">
      <x:c r="A11" s="68" t="str">
        <x:v>CTA</x:v>
      </x:c>
      <x:c r="B11" s="68" t="n">
        <x:v>8</x:v>
      </x:c>
      <x:c r="C11" s="68" t="str">
        <x:v>1=缺失/多行动；3=行动明确；5=价值回扣＋真实权益＋低摩擦唯一动作</x:v>
      </x:c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</x:row>
    <x:row r="12" ht="48" customHeight="1">
      <x:c r="A12" s="68" t="str">
        <x:v>渠道适配</x:v>
      </x:c>
      <x:c r="B12" s="68" t="n">
        <x:v>5</x:v>
      </x:c>
      <x:c r="C12" s="68" t="str">
        <x:v>1=不合渠道；3=基本匹配；5=时长、节奏、画幅和转化动作均适配</x:v>
      </x:c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</x:row>
    <x:row r="13" ht="48" customHeight="1">
      <x:c r="A13" s="70" t="str">
        <x:v>合规与真实性</x:v>
      </x:c>
      <x:c r="B13" s="70" t="n">
        <x:v>7</x:v>
      </x:c>
      <x:c r="C13" s="70" t="str">
        <x:v>1=明显风险；3=主要事实可核；5=证据充分、限制清楚、无伪稀缺/夸张</x:v>
      </x:c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</x:row>
    <x:row r="14">
      <x:c r="A14" s="103" t="str">
        <x:v>权重合计</x:v>
      </x:c>
      <x:c r="B14" s="103" t="n">
        <x:f>SUM(B4:B13)</x:f>
        <x:v>100</x:v>
      </x:c>
    </x:row>
    <x:row r="17" ht="40" customHeight="1">
      <x:c r="A17" s="52" t="str">
        <x:v>候选ID</x:v>
      </x:c>
      <x:c r="B17" s="52" t="str">
        <x:v>策略备注</x:v>
      </x:c>
      <x:c r="C17" s="52" t="str">
        <x:v>前三秒钩子</x:v>
      </x:c>
      <x:c r="D17" s="52" t="str">
        <x:v>人群/场景相关性</x:v>
      </x:c>
      <x:c r="E17" s="52" t="str">
        <x:v>利益清晰</x:v>
      </x:c>
      <x:c r="F17" s="52" t="str">
        <x:v>证据可信</x:v>
      </x:c>
      <x:c r="G17" s="52" t="str">
        <x:v>视觉可执行</x:v>
      </x:c>
      <x:c r="H17" s="52" t="str">
        <x:v>信息节奏</x:v>
      </x:c>
      <x:c r="I17" s="52" t="str">
        <x:v>差异化</x:v>
      </x:c>
      <x:c r="J17" s="52" t="str">
        <x:v>CTA</x:v>
      </x:c>
      <x:c r="K17" s="52" t="str">
        <x:v>渠道适配</x:v>
      </x:c>
      <x:c r="L17" s="52" t="str">
        <x:v>合规与真实性</x:v>
      </x:c>
      <x:c r="M17" s="52" t="str">
        <x:v>加权总分</x:v>
      </x:c>
      <x:c r="N17" s="52" t="str">
        <x:v>硬门槛</x:v>
      </x:c>
      <x:c r="O17" s="52" t="str">
        <x:v>结论</x:v>
      </x:c>
    </x:row>
    <x:row r="18">
      <x:c r="A18" s="106" t="str">
        <x:v>候选01</x:v>
      </x:c>
      <x:c r="B18" s="107" t="str"/>
      <x:c r="C18" s="108"/>
      <x:c r="D18" s="108"/>
      <x:c r="E18" s="108"/>
      <x:c r="F18" s="108"/>
      <x:c r="G18" s="108"/>
      <x:c r="H18" s="108"/>
      <x:c r="I18" s="108"/>
      <x:c r="J18" s="108"/>
      <x:c r="K18" s="108"/>
      <x:c r="L18" s="108"/>
      <x:c r="M18" s="109" t="str">
        <x:f>IF(COUNT(C18:L18)=0,"",SUMPRODUCT(C18:L18,$B$4:$B$13)/5)</x:f>
      </x:c>
      <x:c r="N18" s="107" t="str">
        <x:v>通过</x:v>
      </x:c>
      <x:c r="O18" s="110" t="str">
        <x:f>IF(M18="","",IF(N18="不通过","淘汰",IF(M18&gt;=85,"优先测试",IF(M18&gt;=75,"进入备选","重写"))))</x:f>
      </x:c>
    </x:row>
    <x:row r="19">
      <x:c r="A19" s="111" t="str">
        <x:v>候选02</x:v>
      </x:c>
      <x:c r="B19" s="112" t="str"/>
      <x:c r="C19" s="113"/>
      <x:c r="D19" s="113"/>
      <x:c r="E19" s="113"/>
      <x:c r="F19" s="113"/>
      <x:c r="G19" s="113"/>
      <x:c r="H19" s="113"/>
      <x:c r="I19" s="113"/>
      <x:c r="J19" s="113"/>
      <x:c r="K19" s="113"/>
      <x:c r="L19" s="113"/>
      <x:c r="M19" s="114" t="str">
        <x:f>IF(COUNT(C19:L19)=0,"",SUMPRODUCT(C19:L19,$B$4:$B$13)/5)</x:f>
      </x:c>
      <x:c r="N19" s="112" t="str">
        <x:v>通过</x:v>
      </x:c>
      <x:c r="O19" s="115" t="str">
        <x:f>IF(M19="","",IF(N19="不通过","淘汰",IF(M19&gt;=85,"优先测试",IF(M19&gt;=75,"进入备选","重写"))))</x:f>
      </x:c>
    </x:row>
    <x:row r="20">
      <x:c r="A20" s="111" t="str">
        <x:v>候选03</x:v>
      </x:c>
      <x:c r="B20" s="112" t="str"/>
      <x:c r="C20" s="113"/>
      <x:c r="D20" s="113"/>
      <x:c r="E20" s="113"/>
      <x:c r="F20" s="113"/>
      <x:c r="G20" s="113"/>
      <x:c r="H20" s="113"/>
      <x:c r="I20" s="113"/>
      <x:c r="J20" s="113"/>
      <x:c r="K20" s="113"/>
      <x:c r="L20" s="113"/>
      <x:c r="M20" s="114" t="str">
        <x:f>IF(COUNT(C20:L20)=0,"",SUMPRODUCT(C20:L20,$B$4:$B$13)/5)</x:f>
      </x:c>
      <x:c r="N20" s="112" t="str">
        <x:v>通过</x:v>
      </x:c>
      <x:c r="O20" s="115" t="str">
        <x:f>IF(M20="","",IF(N20="不通过","淘汰",IF(M20&gt;=85,"优先测试",IF(M20&gt;=75,"进入备选","重写"))))</x:f>
      </x:c>
    </x:row>
    <x:row r="21">
      <x:c r="A21" s="111" t="str">
        <x:v>候选04</x:v>
      </x:c>
      <x:c r="B21" s="112" t="str"/>
      <x:c r="C21" s="113"/>
      <x:c r="D21" s="113"/>
      <x:c r="E21" s="113"/>
      <x:c r="F21" s="113"/>
      <x:c r="G21" s="113"/>
      <x:c r="H21" s="113"/>
      <x:c r="I21" s="113"/>
      <x:c r="J21" s="113"/>
      <x:c r="K21" s="113"/>
      <x:c r="L21" s="113"/>
      <x:c r="M21" s="114" t="str">
        <x:f>IF(COUNT(C21:L21)=0,"",SUMPRODUCT(C21:L21,$B$4:$B$13)/5)</x:f>
      </x:c>
      <x:c r="N21" s="112" t="str">
        <x:v>通过</x:v>
      </x:c>
      <x:c r="O21" s="115" t="str">
        <x:f>IF(M21="","",IF(N21="不通过","淘汰",IF(M21&gt;=85,"优先测试",IF(M21&gt;=75,"进入备选","重写"))))</x:f>
      </x:c>
    </x:row>
    <x:row r="22">
      <x:c r="A22" s="111" t="str">
        <x:v>候选05</x:v>
      </x:c>
      <x:c r="B22" s="112" t="str"/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4" t="str">
        <x:f>IF(COUNT(C22:L22)=0,"",SUMPRODUCT(C22:L22,$B$4:$B$13)/5)</x:f>
      </x:c>
      <x:c r="N22" s="112" t="str">
        <x:v>通过</x:v>
      </x:c>
      <x:c r="O22" s="115" t="str">
        <x:f>IF(M22="","",IF(N22="不通过","淘汰",IF(M22&gt;=85,"优先测试",IF(M22&gt;=75,"进入备选","重写"))))</x:f>
      </x:c>
    </x:row>
    <x:row r="23">
      <x:c r="A23" s="111" t="str">
        <x:v>候选06</x:v>
      </x:c>
      <x:c r="B23" s="112" t="str"/>
      <x:c r="C23" s="113"/>
      <x:c r="D23" s="113"/>
      <x:c r="E23" s="113"/>
      <x:c r="F23" s="113"/>
      <x:c r="G23" s="113"/>
      <x:c r="H23" s="113"/>
      <x:c r="I23" s="113"/>
      <x:c r="J23" s="113"/>
      <x:c r="K23" s="113"/>
      <x:c r="L23" s="113"/>
      <x:c r="M23" s="114" t="str">
        <x:f>IF(COUNT(C23:L23)=0,"",SUMPRODUCT(C23:L23,$B$4:$B$13)/5)</x:f>
      </x:c>
      <x:c r="N23" s="112" t="str">
        <x:v>通过</x:v>
      </x:c>
      <x:c r="O23" s="115" t="str">
        <x:f>IF(M23="","",IF(N23="不通过","淘汰",IF(M23&gt;=85,"优先测试",IF(M23&gt;=75,"进入备选","重写"))))</x:f>
      </x:c>
    </x:row>
    <x:row r="24">
      <x:c r="A24" s="111" t="str">
        <x:v>候选07</x:v>
      </x:c>
      <x:c r="B24" s="112" t="str"/>
      <x:c r="C24" s="113"/>
      <x:c r="D24" s="113"/>
      <x:c r="E24" s="113"/>
      <x:c r="F24" s="113"/>
      <x:c r="G24" s="113"/>
      <x:c r="H24" s="113"/>
      <x:c r="I24" s="113"/>
      <x:c r="J24" s="113"/>
      <x:c r="K24" s="113"/>
      <x:c r="L24" s="113"/>
      <x:c r="M24" s="114" t="str">
        <x:f>IF(COUNT(C24:L24)=0,"",SUMPRODUCT(C24:L24,$B$4:$B$13)/5)</x:f>
      </x:c>
      <x:c r="N24" s="112" t="str">
        <x:v>通过</x:v>
      </x:c>
      <x:c r="O24" s="115" t="str">
        <x:f>IF(M24="","",IF(N24="不通过","淘汰",IF(M24&gt;=85,"优先测试",IF(M24&gt;=75,"进入备选","重写"))))</x:f>
      </x:c>
    </x:row>
    <x:row r="25">
      <x:c r="A25" s="111" t="str">
        <x:v>候选08</x:v>
      </x:c>
      <x:c r="B25" s="112" t="str"/>
      <x:c r="C25" s="113"/>
      <x:c r="D25" s="113"/>
      <x:c r="E25" s="113"/>
      <x:c r="F25" s="113"/>
      <x:c r="G25" s="113"/>
      <x:c r="H25" s="113"/>
      <x:c r="I25" s="113"/>
      <x:c r="J25" s="113"/>
      <x:c r="K25" s="113"/>
      <x:c r="L25" s="113"/>
      <x:c r="M25" s="114" t="str">
        <x:f>IF(COUNT(C25:L25)=0,"",SUMPRODUCT(C25:L25,$B$4:$B$13)/5)</x:f>
      </x:c>
      <x:c r="N25" s="112" t="str">
        <x:v>通过</x:v>
      </x:c>
      <x:c r="O25" s="115" t="str">
        <x:f>IF(M25="","",IF(N25="不通过","淘汰",IF(M25&gt;=85,"优先测试",IF(M25&gt;=75,"进入备选","重写"))))</x:f>
      </x:c>
    </x:row>
    <x:row r="26">
      <x:c r="A26" s="111" t="str">
        <x:v>候选09</x:v>
      </x:c>
      <x:c r="B26" s="112" t="str"/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4" t="str">
        <x:f>IF(COUNT(C26:L26)=0,"",SUMPRODUCT(C26:L26,$B$4:$B$13)/5)</x:f>
      </x:c>
      <x:c r="N26" s="112" t="str">
        <x:v>通过</x:v>
      </x:c>
      <x:c r="O26" s="115" t="str">
        <x:f>IF(M26="","",IF(N26="不通过","淘汰",IF(M26&gt;=85,"优先测试",IF(M26&gt;=75,"进入备选","重写"))))</x:f>
      </x:c>
    </x:row>
    <x:row r="27">
      <x:c r="A27" s="111" t="str">
        <x:v>候选10</x:v>
      </x:c>
      <x:c r="B27" s="112" t="str"/>
      <x:c r="C27" s="113"/>
      <x:c r="D27" s="113"/>
      <x:c r="E27" s="113"/>
      <x:c r="F27" s="113"/>
      <x:c r="G27" s="113"/>
      <x:c r="H27" s="113"/>
      <x:c r="I27" s="113"/>
      <x:c r="J27" s="113"/>
      <x:c r="K27" s="113"/>
      <x:c r="L27" s="113"/>
      <x:c r="M27" s="114" t="str">
        <x:f>IF(COUNT(C27:L27)=0,"",SUMPRODUCT(C27:L27,$B$4:$B$13)/5)</x:f>
      </x:c>
      <x:c r="N27" s="112" t="str">
        <x:v>通过</x:v>
      </x:c>
      <x:c r="O27" s="115" t="str">
        <x:f>IF(M27="","",IF(N27="不通过","淘汰",IF(M27&gt;=85,"优先测试",IF(M27&gt;=75,"进入备选","重写"))))</x:f>
      </x:c>
    </x:row>
    <x:row r="28">
      <x:c r="A28" s="111" t="str">
        <x:v>候选11</x:v>
      </x:c>
      <x:c r="B28" s="112" t="str"/>
      <x:c r="C28" s="113"/>
      <x:c r="D28" s="113"/>
      <x:c r="E28" s="113"/>
      <x:c r="F28" s="113"/>
      <x:c r="G28" s="113"/>
      <x:c r="H28" s="113"/>
      <x:c r="I28" s="113"/>
      <x:c r="J28" s="113"/>
      <x:c r="K28" s="113"/>
      <x:c r="L28" s="113"/>
      <x:c r="M28" s="114" t="str">
        <x:f>IF(COUNT(C28:L28)=0,"",SUMPRODUCT(C28:L28,$B$4:$B$13)/5)</x:f>
      </x:c>
      <x:c r="N28" s="112" t="str">
        <x:v>通过</x:v>
      </x:c>
      <x:c r="O28" s="115" t="str">
        <x:f>IF(M28="","",IF(N28="不通过","淘汰",IF(M28&gt;=85,"优先测试",IF(M28&gt;=75,"进入备选","重写"))))</x:f>
      </x:c>
    </x:row>
    <x:row r="29">
      <x:c r="A29" s="116" t="str">
        <x:v>候选12</x:v>
      </x:c>
      <x:c r="B29" s="117" t="str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19" t="str">
        <x:f>IF(COUNT(C29:L29)=0,"",SUMPRODUCT(C29:L29,$B$4:$B$13)/5)</x:f>
      </x:c>
      <x:c r="N29" s="117" t="str">
        <x:v>通过</x:v>
      </x:c>
      <x:c r="O29" s="120" t="str">
        <x:f>IF(M29="","",IF(N29="不通过","淘汰",IF(M29&gt;=85,"优先测试",IF(M29&gt;=75,"进入备选","重写"))))</x:f>
      </x:c>
    </x:row>
    <x:row r="31">
      <x:c r="A31" s="123" t="str">
        <x:v>硬门槛：功能/数字/价格/背书不真实；关键镜头不可拍；合规不通过；CTA与落地页不一致——任一项成立即选“不通过”。</x:v>
      </x:c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</x:sheetData>
  <x:mergeCells>
    <x:mergeCell ref="A1:O1"/>
    <x:mergeCell ref="C3:O3"/>
    <x:mergeCell ref="C4:O4"/>
    <x:mergeCell ref="C5:O5"/>
    <x:mergeCell ref="C6:O6"/>
    <x:mergeCell ref="C7:O7"/>
    <x:mergeCell ref="C8:O8"/>
    <x:mergeCell ref="C9:O9"/>
    <x:mergeCell ref="C10:O10"/>
    <x:mergeCell ref="C11:O11"/>
    <x:mergeCell ref="C12:O12"/>
    <x:mergeCell ref="C13:O13"/>
    <x:mergeCell ref="A31:O31"/>
  </x:mergeCells>
  <x:dataValidations count="2">
    <x:dataValidation type="whole" operator="between" sqref="C18:L29">
      <x:formula1>1</x:formula1>
      <x:formula2>5</x:formula2>
    </x:dataValidation>
    <x:dataValidation type="list" sqref="N18:N29">
      <x:formula1>"通过,不通过"</x:formula1>
    </x:dataValidation>
  </x:dataValidations>
  <x:pageMargins left="0.7" right="0.7" top="0.75" bottom="0.75" header="0.3" footer="0.3"/>
</x:worksheet>
</file>